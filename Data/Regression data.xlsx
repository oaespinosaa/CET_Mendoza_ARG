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oral\Umbrales Mendoza\Code\git\"/>
    </mc:Choice>
  </mc:AlternateContent>
  <xr:revisionPtr revIDLastSave="0" documentId="13_ncr:1_{EA50E639-8819-4CEA-AF79-6D7A603A5D4B}" xr6:coauthVersionLast="47" xr6:coauthVersionMax="47" xr10:uidLastSave="{00000000-0000-0000-0000-000000000000}"/>
  <bookViews>
    <workbookView xWindow="-108" yWindow="-108" windowWidth="23256" windowHeight="12456" firstSheet="1" activeTab="2" xr2:uid="{CB41CD90-1E95-4050-832E-E07BD98041DD}"/>
  </bookViews>
  <sheets>
    <sheet name="GS_pc" sheetId="1" r:id="rId1"/>
    <sheet name="Afil_grupoedad" sheetId="11" r:id="rId2"/>
    <sheet name="Mortalidad" sheetId="8" r:id="rId3"/>
    <sheet name="Desempleo" sheetId="2" r:id="rId4"/>
    <sheet name="Inflacion" sheetId="3" r:id="rId5"/>
    <sheet name="TRM" sheetId="4" r:id="rId6"/>
    <sheet name="Poblacion" sheetId="5" r:id="rId7"/>
    <sheet name="Instrumento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G4" i="3"/>
  <c r="G5" i="3"/>
  <c r="G6" i="3"/>
  <c r="G7" i="3"/>
  <c r="G8" i="3"/>
  <c r="G9" i="3"/>
  <c r="G10" i="3"/>
  <c r="G11" i="3"/>
  <c r="G12" i="3"/>
  <c r="H11" i="6" s="1"/>
  <c r="J11" i="6" s="1"/>
  <c r="G13" i="3"/>
  <c r="H12" i="6" s="1"/>
  <c r="J12" i="6" s="1"/>
  <c r="G3" i="3"/>
  <c r="F4" i="3"/>
  <c r="F3" i="3" s="1"/>
  <c r="F5" i="3"/>
  <c r="H3" i="6"/>
  <c r="J3" i="6" s="1"/>
  <c r="H2" i="6"/>
  <c r="J2" i="6" s="1"/>
  <c r="C3" i="3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" i="11"/>
  <c r="E11" i="8"/>
  <c r="F11" i="8" s="1"/>
  <c r="G11" i="8" s="1"/>
  <c r="H11" i="8" s="1"/>
  <c r="D11" i="8"/>
  <c r="E10" i="8"/>
  <c r="F10" i="8" s="1"/>
  <c r="G10" i="8" s="1"/>
  <c r="H10" i="8" s="1"/>
  <c r="D10" i="8"/>
  <c r="E9" i="8"/>
  <c r="F9" i="8" s="1"/>
  <c r="G9" i="8" s="1"/>
  <c r="H9" i="8" s="1"/>
  <c r="D9" i="8"/>
  <c r="E8" i="8"/>
  <c r="F8" i="8" s="1"/>
  <c r="G8" i="8" s="1"/>
  <c r="H8" i="8" s="1"/>
  <c r="D8" i="8"/>
  <c r="E7" i="8"/>
  <c r="F7" i="8" s="1"/>
  <c r="G7" i="8" s="1"/>
  <c r="H7" i="8" s="1"/>
  <c r="D7" i="8"/>
  <c r="E6" i="8"/>
  <c r="F6" i="8" s="1"/>
  <c r="G6" i="8" s="1"/>
  <c r="H6" i="8" s="1"/>
  <c r="D6" i="8"/>
  <c r="E5" i="8"/>
  <c r="F5" i="8" s="1"/>
  <c r="G5" i="8" s="1"/>
  <c r="H5" i="8" s="1"/>
  <c r="D5" i="8"/>
  <c r="E4" i="8"/>
  <c r="F4" i="8" s="1"/>
  <c r="G4" i="8" s="1"/>
  <c r="H4" i="8" s="1"/>
  <c r="D4" i="8"/>
  <c r="D2" i="8" s="1"/>
  <c r="B2" i="8" s="1"/>
  <c r="E3" i="8"/>
  <c r="E2" i="8"/>
  <c r="H10" i="6" l="1"/>
  <c r="J10" i="6" s="1"/>
  <c r="H9" i="6"/>
  <c r="J9" i="6" s="1"/>
  <c r="H8" i="6"/>
  <c r="J8" i="6" s="1"/>
  <c r="H7" i="6"/>
  <c r="J7" i="6" s="1"/>
  <c r="H6" i="6"/>
  <c r="J6" i="6" s="1"/>
  <c r="H5" i="6"/>
  <c r="J5" i="6" s="1"/>
  <c r="H4" i="6"/>
  <c r="J4" i="6" s="1"/>
  <c r="D3" i="8"/>
  <c r="B3" i="8" s="1"/>
  <c r="F3" i="8" s="1"/>
  <c r="G3" i="8" s="1"/>
  <c r="H3" i="8" s="1"/>
  <c r="F2" i="8"/>
  <c r="G2" i="8" s="1"/>
  <c r="H2" i="8" s="1"/>
  <c r="O2" i="1"/>
  <c r="O3" i="1"/>
  <c r="O4" i="1"/>
  <c r="O5" i="1"/>
  <c r="O6" i="1"/>
  <c r="O7" i="1"/>
  <c r="O8" i="1"/>
  <c r="O9" i="1"/>
  <c r="O10" i="1"/>
  <c r="O11" i="1"/>
  <c r="O12" i="1"/>
  <c r="N2" i="6"/>
  <c r="R2" i="6"/>
  <c r="T2" i="6"/>
  <c r="T3" i="6"/>
  <c r="T4" i="6"/>
  <c r="T5" i="6"/>
  <c r="T6" i="6"/>
  <c r="T7" i="6"/>
  <c r="T8" i="6"/>
  <c r="T9" i="6"/>
  <c r="T10" i="6"/>
  <c r="T11" i="6"/>
  <c r="T12" i="6"/>
  <c r="R3" i="6"/>
  <c r="R4" i="6"/>
  <c r="R5" i="6"/>
  <c r="R6" i="6"/>
  <c r="R7" i="6"/>
  <c r="R8" i="6"/>
  <c r="R9" i="6"/>
  <c r="R10" i="6"/>
  <c r="R11" i="6"/>
  <c r="R12" i="6"/>
  <c r="N3" i="6" l="1"/>
  <c r="N4" i="6"/>
  <c r="N5" i="6"/>
  <c r="N6" i="6"/>
  <c r="N7" i="6"/>
  <c r="N8" i="6"/>
  <c r="N9" i="6"/>
  <c r="N10" i="6"/>
  <c r="N11" i="6"/>
  <c r="N12" i="6"/>
  <c r="N12" i="1"/>
  <c r="F3" i="5"/>
  <c r="G3" i="5"/>
  <c r="H3" i="5"/>
  <c r="F4" i="5"/>
  <c r="G4" i="5"/>
  <c r="H4" i="5"/>
  <c r="F5" i="5"/>
  <c r="G5" i="5"/>
  <c r="H5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H2" i="5"/>
  <c r="G2" i="5"/>
  <c r="F2" i="5"/>
  <c r="P3" i="6"/>
  <c r="P4" i="6"/>
  <c r="P5" i="6"/>
  <c r="P6" i="6"/>
  <c r="P7" i="6"/>
  <c r="P8" i="6"/>
  <c r="P9" i="6"/>
  <c r="P10" i="6"/>
  <c r="P11" i="6"/>
  <c r="P12" i="6"/>
  <c r="P2" i="6"/>
  <c r="L3" i="6"/>
  <c r="L4" i="6"/>
  <c r="L5" i="6"/>
  <c r="L6" i="6"/>
  <c r="L7" i="6"/>
  <c r="L8" i="6"/>
  <c r="L9" i="6"/>
  <c r="L10" i="6"/>
  <c r="L11" i="6"/>
  <c r="L12" i="6"/>
  <c r="L2" i="6"/>
  <c r="F7" i="6"/>
  <c r="U7" i="6" s="1"/>
  <c r="E3" i="6"/>
  <c r="F3" i="6" s="1"/>
  <c r="U3" i="6" s="1"/>
  <c r="E4" i="6"/>
  <c r="F4" i="6" s="1"/>
  <c r="U4" i="6" s="1"/>
  <c r="E5" i="6"/>
  <c r="F5" i="6" s="1"/>
  <c r="U5" i="6" s="1"/>
  <c r="E6" i="6"/>
  <c r="F6" i="6" s="1"/>
  <c r="U6" i="6" s="1"/>
  <c r="E7" i="6"/>
  <c r="E8" i="6"/>
  <c r="F8" i="6" s="1"/>
  <c r="U8" i="6" s="1"/>
  <c r="E9" i="6"/>
  <c r="F9" i="6" s="1"/>
  <c r="U9" i="6" s="1"/>
  <c r="E10" i="6"/>
  <c r="F10" i="6" s="1"/>
  <c r="U10" i="6" s="1"/>
  <c r="E11" i="6"/>
  <c r="F11" i="6" s="1"/>
  <c r="U11" i="6" s="1"/>
  <c r="E12" i="6"/>
  <c r="F12" i="6" s="1"/>
  <c r="U12" i="6" s="1"/>
  <c r="E2" i="6"/>
  <c r="F2" i="6" s="1"/>
  <c r="U2" i="6" s="1"/>
  <c r="C3" i="6"/>
  <c r="C4" i="6"/>
  <c r="C5" i="6"/>
  <c r="C6" i="6"/>
  <c r="C7" i="6"/>
  <c r="C8" i="6"/>
  <c r="C9" i="6"/>
  <c r="C10" i="6"/>
  <c r="C11" i="6"/>
  <c r="C12" i="6"/>
  <c r="C2" i="6"/>
  <c r="B2" i="3"/>
  <c r="C4" i="3"/>
  <c r="C5" i="3"/>
  <c r="C6" i="3"/>
  <c r="C7" i="3"/>
  <c r="C8" i="3"/>
  <c r="C9" i="3"/>
  <c r="C10" i="3"/>
  <c r="C11" i="3"/>
  <c r="C12" i="3"/>
  <c r="C13" i="3"/>
  <c r="E3" i="1"/>
  <c r="E4" i="1"/>
  <c r="E5" i="1"/>
  <c r="E6" i="1"/>
  <c r="E7" i="1"/>
  <c r="E8" i="1"/>
  <c r="E9" i="1"/>
  <c r="E10" i="1"/>
  <c r="E11" i="1"/>
  <c r="E12" i="1"/>
  <c r="E2" i="1"/>
  <c r="B3" i="1"/>
  <c r="M3" i="1" s="1"/>
  <c r="B4" i="1"/>
  <c r="M4" i="1" s="1"/>
  <c r="B5" i="1"/>
  <c r="M5" i="1" s="1"/>
  <c r="B6" i="1"/>
  <c r="M6" i="1" s="1"/>
  <c r="B7" i="1"/>
  <c r="M7" i="1" s="1"/>
  <c r="B8" i="1"/>
  <c r="M8" i="1" s="1"/>
  <c r="B9" i="1"/>
  <c r="B10" i="1"/>
  <c r="M10" i="1" s="1"/>
  <c r="B11" i="1"/>
  <c r="M11" i="1" s="1"/>
  <c r="B12" i="1"/>
  <c r="M12" i="1" s="1"/>
  <c r="B2" i="1"/>
  <c r="M2" i="1"/>
  <c r="L2" i="1"/>
  <c r="K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M9" i="1"/>
  <c r="K10" i="1"/>
  <c r="L10" i="1"/>
  <c r="K11" i="1"/>
  <c r="L11" i="1"/>
  <c r="K12" i="1"/>
  <c r="L12" i="1"/>
  <c r="D4" i="3" l="1"/>
  <c r="D5" i="3"/>
  <c r="D6" i="3"/>
  <c r="D7" i="3"/>
  <c r="D8" i="3"/>
  <c r="D9" i="3"/>
  <c r="D10" i="3"/>
  <c r="D11" i="3"/>
  <c r="D13" i="3"/>
  <c r="D12" i="3"/>
</calcChain>
</file>

<file path=xl/sharedStrings.xml><?xml version="1.0" encoding="utf-8"?>
<sst xmlns="http://schemas.openxmlformats.org/spreadsheetml/2006/main" count="96" uniqueCount="65">
  <si>
    <t>Año</t>
  </si>
  <si>
    <t>Total 2024</t>
  </si>
  <si>
    <t>TS 2024</t>
  </si>
  <si>
    <t>Total OSEP 2024</t>
  </si>
  <si>
    <t>Total Provincial 2024</t>
  </si>
  <si>
    <t>TS OSEP 2024</t>
  </si>
  <si>
    <t>TS Provincial 2024</t>
  </si>
  <si>
    <t>Tasa</t>
  </si>
  <si>
    <t>Trimestre</t>
  </si>
  <si>
    <t>IPC Mendoza</t>
  </si>
  <si>
    <t>Inflación Mendoza</t>
  </si>
  <si>
    <t>Deflactor IPC</t>
  </si>
  <si>
    <t>Afiliados Público Provincial</t>
  </si>
  <si>
    <t>Afiliados OSEP</t>
  </si>
  <si>
    <t>Afiliados total</t>
  </si>
  <si>
    <t>PC_OSEP</t>
  </si>
  <si>
    <t>PC_total</t>
  </si>
  <si>
    <t>PC_provincial</t>
  </si>
  <si>
    <t>TRM</t>
  </si>
  <si>
    <t>Pob_M65</t>
  </si>
  <si>
    <t>Pob_m5</t>
  </si>
  <si>
    <t>Pob_mujeres</t>
  </si>
  <si>
    <t>Total</t>
  </si>
  <si>
    <t>Inflacion Argentina</t>
  </si>
  <si>
    <t>PBG minero</t>
  </si>
  <si>
    <t>PBG_minero_2024</t>
  </si>
  <si>
    <t>PBG_pc</t>
  </si>
  <si>
    <t>PBG</t>
  </si>
  <si>
    <t>PBG_2024</t>
  </si>
  <si>
    <t>PBG agro</t>
  </si>
  <si>
    <t>Prop_PBGagro</t>
  </si>
  <si>
    <t>Regalías energéticas</t>
  </si>
  <si>
    <t>Regalias_2024</t>
  </si>
  <si>
    <t>Coparticipacion_2024</t>
  </si>
  <si>
    <t>Origenpc_2024</t>
  </si>
  <si>
    <t>prop_m5</t>
  </si>
  <si>
    <t>prop_M65</t>
  </si>
  <si>
    <t>prop_muj</t>
  </si>
  <si>
    <t>GS_LAC</t>
  </si>
  <si>
    <t>PBG defensa</t>
  </si>
  <si>
    <t>Prop_PBGdefensa</t>
  </si>
  <si>
    <t>Coparticipación automática</t>
  </si>
  <si>
    <t>Total recursos de origen nacional (real)</t>
  </si>
  <si>
    <t>Proporcion</t>
  </si>
  <si>
    <t>Fallecidos OSEP</t>
  </si>
  <si>
    <t>Total defunciones</t>
  </si>
  <si>
    <t>Proporción defunciones OSEP</t>
  </si>
  <si>
    <t>Fallecidos Publico</t>
  </si>
  <si>
    <t>Muertes osep y publico</t>
  </si>
  <si>
    <t>Factor afiliados publico/osep</t>
  </si>
  <si>
    <t>grupo_edad</t>
  </si>
  <si>
    <t>0-14</t>
  </si>
  <si>
    <t>15-64</t>
  </si>
  <si>
    <t>65+</t>
  </si>
  <si>
    <t>afiliados_totalgrupo</t>
  </si>
  <si>
    <t>proporcion_grupo</t>
  </si>
  <si>
    <t>pobltotal_grupo</t>
  </si>
  <si>
    <t>PIB_Nacional</t>
  </si>
  <si>
    <t>PIB_2024</t>
  </si>
  <si>
    <t>PIB_pc</t>
  </si>
  <si>
    <t>prop_PBG_PIB</t>
  </si>
  <si>
    <t>Pob_Nacional</t>
  </si>
  <si>
    <t>Deflactor Argentina</t>
  </si>
  <si>
    <t>IPC Argentina</t>
  </si>
  <si>
    <t>prop_ajuste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</si>
</sst>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1" applyNumberFormat="1" applyFont="1"/>
    <xf numFmtId="4" fontId="0" fillId="0" borderId="0" xfId="0" applyNumberFormat="1"/>
    <xf numFmtId="0" fontId="1" fillId="2" borderId="0" xfId="0" applyFont="1" applyFill="1"/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165" fontId="0" fillId="0" borderId="0" xfId="2" applyNumberFormat="1" applyFont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88A5-F6E9-4246-B924-F11172A47AE7}">
  <dimension ref="A1:O12"/>
  <sheetViews>
    <sheetView topLeftCell="C1" workbookViewId="0">
      <selection activeCell="H2" sqref="H2"/>
    </sheetView>
  </sheetViews>
  <sheetFormatPr baseColWidth="10" defaultRowHeight="14.4" x14ac:dyDescent="0.3"/>
  <cols>
    <col min="1" max="1" width="5" bestFit="1" customWidth="1"/>
    <col min="2" max="7" width="16.33203125" style="3" customWidth="1"/>
    <col min="8" max="8" width="12.5546875" bestFit="1" customWidth="1"/>
    <col min="9" max="9" width="13.21875" bestFit="1" customWidth="1"/>
    <col min="10" max="10" width="23.88671875" bestFit="1" customWidth="1"/>
    <col min="11" max="11" width="12.44140625" bestFit="1" customWidth="1"/>
  </cols>
  <sheetData>
    <row r="1" spans="1:15" x14ac:dyDescent="0.3">
      <c r="A1" s="1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1" t="s">
        <v>14</v>
      </c>
      <c r="I1" s="1" t="s">
        <v>13</v>
      </c>
      <c r="J1" s="1" t="s">
        <v>12</v>
      </c>
      <c r="K1" s="1" t="s">
        <v>17</v>
      </c>
      <c r="L1" s="1" t="s">
        <v>15</v>
      </c>
      <c r="M1" s="6" t="s">
        <v>16</v>
      </c>
      <c r="N1" s="6" t="s">
        <v>38</v>
      </c>
      <c r="O1" s="1" t="s">
        <v>43</v>
      </c>
    </row>
    <row r="2" spans="1:15" x14ac:dyDescent="0.3">
      <c r="A2">
        <v>2014</v>
      </c>
      <c r="B2" s="3">
        <f t="shared" ref="B2:B12" si="0">SUM(C2:D2)</f>
        <v>810951414951.58521</v>
      </c>
      <c r="C2" s="3">
        <v>288493652185.41064</v>
      </c>
      <c r="D2" s="3">
        <v>522457762766.1745</v>
      </c>
      <c r="E2" s="3">
        <f t="shared" ref="E2:E12" si="1">SUM(F2:G2)</f>
        <v>559324430853.45581</v>
      </c>
      <c r="F2" s="3">
        <v>114058273750.03827</v>
      </c>
      <c r="G2" s="3">
        <v>445266157103.4176</v>
      </c>
      <c r="H2" s="8">
        <v>1063200.3</v>
      </c>
      <c r="I2" s="8">
        <v>297067.3</v>
      </c>
      <c r="J2">
        <v>766133</v>
      </c>
      <c r="K2">
        <f t="shared" ref="K2:K12" si="2">D2/J2</f>
        <v>681941.33755650069</v>
      </c>
      <c r="L2">
        <f t="shared" ref="L2:L12" si="3">C2/I2</f>
        <v>971139.03881514608</v>
      </c>
      <c r="M2">
        <f t="shared" ref="M2:M12" si="4">B2/H2</f>
        <v>762745.66039116541</v>
      </c>
      <c r="N2">
        <v>7.4488290284386585</v>
      </c>
      <c r="O2" s="7">
        <f>H2/Poblacion!B2</f>
        <v>0.57050038002519821</v>
      </c>
    </row>
    <row r="3" spans="1:15" x14ac:dyDescent="0.3">
      <c r="A3">
        <v>2015</v>
      </c>
      <c r="B3" s="3">
        <f t="shared" si="0"/>
        <v>903091929274.15503</v>
      </c>
      <c r="C3" s="3">
        <v>322617240260.57111</v>
      </c>
      <c r="D3" s="3">
        <v>580474689013.58398</v>
      </c>
      <c r="E3" s="3">
        <f t="shared" si="1"/>
        <v>616191835400.46167</v>
      </c>
      <c r="F3" s="3">
        <v>122305993999.44304</v>
      </c>
      <c r="G3" s="3">
        <v>493885841401.01862</v>
      </c>
      <c r="H3">
        <v>1068440</v>
      </c>
      <c r="I3">
        <v>293322</v>
      </c>
      <c r="J3">
        <v>775118</v>
      </c>
      <c r="K3">
        <f t="shared" si="2"/>
        <v>748885.57485903311</v>
      </c>
      <c r="L3">
        <f t="shared" si="3"/>
        <v>1099873.996019975</v>
      </c>
      <c r="M3">
        <f t="shared" si="4"/>
        <v>845243.46643157781</v>
      </c>
      <c r="N3">
        <v>7.8076104997657536</v>
      </c>
      <c r="O3" s="7">
        <f>H3/Poblacion!B3</f>
        <v>0.56666618409126945</v>
      </c>
    </row>
    <row r="4" spans="1:15" x14ac:dyDescent="0.3">
      <c r="A4">
        <v>2016</v>
      </c>
      <c r="B4" s="3">
        <f t="shared" si="0"/>
        <v>871641949592.55957</v>
      </c>
      <c r="C4" s="3">
        <v>333849055764.00757</v>
      </c>
      <c r="D4" s="3">
        <v>537792893828.552</v>
      </c>
      <c r="E4" s="3">
        <f t="shared" si="1"/>
        <v>553135891422.73291</v>
      </c>
      <c r="F4" s="3">
        <v>109798044525.63</v>
      </c>
      <c r="G4" s="3">
        <v>443337846897.10297</v>
      </c>
      <c r="H4">
        <v>1025611</v>
      </c>
      <c r="I4">
        <v>296511</v>
      </c>
      <c r="J4">
        <v>729100</v>
      </c>
      <c r="K4">
        <f t="shared" si="2"/>
        <v>737611.97891722945</v>
      </c>
      <c r="L4">
        <f t="shared" si="3"/>
        <v>1125924.6900250162</v>
      </c>
      <c r="M4">
        <f t="shared" si="4"/>
        <v>849875.78096623335</v>
      </c>
      <c r="N4">
        <v>7.8638934350984959</v>
      </c>
      <c r="O4" s="7">
        <f>H4/Poblacion!B4</f>
        <v>0.5377610869564835</v>
      </c>
    </row>
    <row r="5" spans="1:15" x14ac:dyDescent="0.3">
      <c r="A5">
        <v>2017</v>
      </c>
      <c r="B5" s="3">
        <f t="shared" si="0"/>
        <v>1039081184949.8967</v>
      </c>
      <c r="C5" s="3">
        <v>354443201756.37238</v>
      </c>
      <c r="D5" s="3">
        <v>684637983193.52441</v>
      </c>
      <c r="E5" s="3">
        <f t="shared" si="1"/>
        <v>660858111025.01282</v>
      </c>
      <c r="F5" s="3">
        <v>114544835695.13222</v>
      </c>
      <c r="G5" s="3">
        <v>546313275329.88055</v>
      </c>
      <c r="H5">
        <v>1047545</v>
      </c>
      <c r="I5">
        <v>303501</v>
      </c>
      <c r="J5">
        <v>744044</v>
      </c>
      <c r="K5">
        <f t="shared" si="2"/>
        <v>920157.92506024428</v>
      </c>
      <c r="L5">
        <f t="shared" si="3"/>
        <v>1167848.5466485196</v>
      </c>
      <c r="M5">
        <f t="shared" si="4"/>
        <v>991920.33273023763</v>
      </c>
      <c r="N5">
        <v>8.0292620646428698</v>
      </c>
      <c r="O5" s="7">
        <f>H5/Poblacion!B5</f>
        <v>0.54311382956654153</v>
      </c>
    </row>
    <row r="6" spans="1:15" x14ac:dyDescent="0.3">
      <c r="A6">
        <v>2018</v>
      </c>
      <c r="B6" s="3">
        <f t="shared" si="0"/>
        <v>939853372326.21729</v>
      </c>
      <c r="C6" s="3">
        <v>305467903153.75195</v>
      </c>
      <c r="D6" s="3">
        <v>634385469172.46533</v>
      </c>
      <c r="E6" s="3">
        <f t="shared" si="1"/>
        <v>597814385627.81885</v>
      </c>
      <c r="F6" s="3">
        <v>107181430759.50148</v>
      </c>
      <c r="G6" s="3">
        <v>490632954868.31732</v>
      </c>
      <c r="H6">
        <v>1110331</v>
      </c>
      <c r="I6">
        <v>313459</v>
      </c>
      <c r="J6">
        <v>796872</v>
      </c>
      <c r="K6">
        <f t="shared" si="2"/>
        <v>796094.56621949992</v>
      </c>
      <c r="L6">
        <f t="shared" si="3"/>
        <v>974506.72385783133</v>
      </c>
      <c r="M6">
        <f t="shared" si="4"/>
        <v>846462.33629991172</v>
      </c>
      <c r="N6">
        <v>7.8604889170970038</v>
      </c>
      <c r="O6" s="7">
        <f>H6/Poblacion!B6</f>
        <v>0.56933168023533898</v>
      </c>
    </row>
    <row r="7" spans="1:15" x14ac:dyDescent="0.3">
      <c r="A7">
        <v>2019</v>
      </c>
      <c r="B7" s="3">
        <f t="shared" si="0"/>
        <v>914591249324.06616</v>
      </c>
      <c r="C7" s="3">
        <v>282762033777.67645</v>
      </c>
      <c r="D7" s="3">
        <v>631829215546.38977</v>
      </c>
      <c r="E7" s="3">
        <f t="shared" si="1"/>
        <v>612447676165.53247</v>
      </c>
      <c r="F7" s="3">
        <v>109576045396.61955</v>
      </c>
      <c r="G7" s="3">
        <v>502871630768.9129</v>
      </c>
      <c r="H7">
        <v>1135810</v>
      </c>
      <c r="I7">
        <v>317041</v>
      </c>
      <c r="J7">
        <v>818769</v>
      </c>
      <c r="K7">
        <f t="shared" si="2"/>
        <v>771681.89751491544</v>
      </c>
      <c r="L7">
        <f t="shared" si="3"/>
        <v>891878.4440424944</v>
      </c>
      <c r="M7">
        <f t="shared" si="4"/>
        <v>805232.6087321525</v>
      </c>
      <c r="N7">
        <v>7.8739367122282964</v>
      </c>
      <c r="O7" s="7">
        <f>H7/Poblacion!B7</f>
        <v>0.57615071519787608</v>
      </c>
    </row>
    <row r="8" spans="1:15" x14ac:dyDescent="0.3">
      <c r="A8">
        <v>2020</v>
      </c>
      <c r="B8" s="3">
        <f t="shared" si="0"/>
        <v>904698584368.92163</v>
      </c>
      <c r="C8" s="3">
        <v>296087052770.18597</v>
      </c>
      <c r="D8" s="3">
        <v>608611531598.7356</v>
      </c>
      <c r="E8" s="3">
        <f t="shared" si="1"/>
        <v>577689387978.84302</v>
      </c>
      <c r="F8" s="3">
        <v>102539589994.21246</v>
      </c>
      <c r="G8" s="3">
        <v>475149797984.63055</v>
      </c>
      <c r="H8">
        <v>1101550</v>
      </c>
      <c r="I8">
        <v>273354</v>
      </c>
      <c r="J8">
        <v>828196</v>
      </c>
      <c r="K8">
        <f t="shared" si="2"/>
        <v>734864.12829660566</v>
      </c>
      <c r="L8">
        <f t="shared" si="3"/>
        <v>1083163.4172910803</v>
      </c>
      <c r="M8">
        <f t="shared" si="4"/>
        <v>821295.97782118071</v>
      </c>
      <c r="N8">
        <v>8.3110576406686363</v>
      </c>
      <c r="O8" s="7">
        <f>H8/Poblacion!B8</f>
        <v>0.55307803901559904</v>
      </c>
    </row>
    <row r="9" spans="1:15" x14ac:dyDescent="0.3">
      <c r="A9">
        <v>2021</v>
      </c>
      <c r="B9" s="3">
        <f t="shared" si="0"/>
        <v>868683830862.77954</v>
      </c>
      <c r="C9" s="3">
        <v>280881117805.92841</v>
      </c>
      <c r="D9" s="3">
        <v>587802713056.8512</v>
      </c>
      <c r="E9" s="3">
        <f t="shared" si="1"/>
        <v>541118020205.2417</v>
      </c>
      <c r="F9" s="3">
        <v>96049730170.298157</v>
      </c>
      <c r="G9" s="3">
        <v>445068290034.94354</v>
      </c>
      <c r="H9">
        <v>1123684</v>
      </c>
      <c r="I9">
        <v>297683</v>
      </c>
      <c r="J9">
        <v>826001</v>
      </c>
      <c r="K9">
        <f t="shared" si="2"/>
        <v>711624.69907040207</v>
      </c>
      <c r="L9">
        <f t="shared" si="3"/>
        <v>943557.80412696861</v>
      </c>
      <c r="M9">
        <f t="shared" si="4"/>
        <v>773067.72265403753</v>
      </c>
      <c r="N9">
        <v>8.2624147462455468</v>
      </c>
      <c r="O9" s="7">
        <f>H9/Poblacion!B9</f>
        <v>0.55901446030738577</v>
      </c>
    </row>
    <row r="10" spans="1:15" x14ac:dyDescent="0.3">
      <c r="A10">
        <v>2022</v>
      </c>
      <c r="B10" s="3">
        <f t="shared" si="0"/>
        <v>783299692527.73389</v>
      </c>
      <c r="C10" s="3">
        <v>236264465771.76682</v>
      </c>
      <c r="D10" s="3">
        <v>547035226755.9671</v>
      </c>
      <c r="E10" s="3">
        <f t="shared" si="1"/>
        <v>501117911805.14734</v>
      </c>
      <c r="F10" s="3">
        <v>84654427403.690155</v>
      </c>
      <c r="G10" s="3">
        <v>416463484401.45721</v>
      </c>
      <c r="H10">
        <v>1123595</v>
      </c>
      <c r="I10">
        <v>296851</v>
      </c>
      <c r="J10">
        <v>826744</v>
      </c>
      <c r="K10">
        <f t="shared" si="2"/>
        <v>661674.26283827529</v>
      </c>
      <c r="L10">
        <f t="shared" si="3"/>
        <v>795902.54293152736</v>
      </c>
      <c r="M10">
        <f t="shared" si="4"/>
        <v>697137.04006135114</v>
      </c>
      <c r="N10">
        <v>7.9047507538525945</v>
      </c>
      <c r="O10" s="7">
        <f>H10/Poblacion!B10</f>
        <v>0.55478162365551575</v>
      </c>
    </row>
    <row r="11" spans="1:15" x14ac:dyDescent="0.3">
      <c r="A11">
        <v>2023</v>
      </c>
      <c r="B11" s="3">
        <f t="shared" si="0"/>
        <v>806734658443.42969</v>
      </c>
      <c r="C11" s="3">
        <v>238139208879.1785</v>
      </c>
      <c r="D11" s="3">
        <v>568595449564.25122</v>
      </c>
      <c r="E11" s="3">
        <f t="shared" si="1"/>
        <v>520576515975.18481</v>
      </c>
      <c r="F11" s="3">
        <v>79467003098.335114</v>
      </c>
      <c r="G11" s="3">
        <v>441109512876.84973</v>
      </c>
      <c r="H11">
        <v>1188965</v>
      </c>
      <c r="I11">
        <v>291166</v>
      </c>
      <c r="J11">
        <v>897799</v>
      </c>
      <c r="K11">
        <f t="shared" si="2"/>
        <v>633321.54476029845</v>
      </c>
      <c r="L11">
        <f t="shared" si="3"/>
        <v>817881.23915284919</v>
      </c>
      <c r="M11">
        <f t="shared" si="4"/>
        <v>678518.42438038939</v>
      </c>
      <c r="N11">
        <v>7.9098762646416585</v>
      </c>
      <c r="O11" s="7">
        <f>H11/Poblacion!B11</f>
        <v>0.58392377011194829</v>
      </c>
    </row>
    <row r="12" spans="1:15" x14ac:dyDescent="0.3">
      <c r="A12">
        <v>2024</v>
      </c>
      <c r="B12" s="3">
        <f t="shared" si="0"/>
        <v>754670083490.55945</v>
      </c>
      <c r="C12" s="3">
        <v>216030467032.21997</v>
      </c>
      <c r="D12" s="3">
        <v>538639616458.33948</v>
      </c>
      <c r="E12" s="3">
        <f t="shared" si="1"/>
        <v>492758715938.22028</v>
      </c>
      <c r="F12" s="3">
        <v>81037724317.919998</v>
      </c>
      <c r="G12" s="3">
        <v>411720991620.30029</v>
      </c>
      <c r="H12">
        <v>1170602</v>
      </c>
      <c r="I12">
        <v>287785</v>
      </c>
      <c r="J12">
        <v>882817</v>
      </c>
      <c r="K12">
        <f t="shared" si="2"/>
        <v>610137.34042087942</v>
      </c>
      <c r="L12">
        <f t="shared" si="3"/>
        <v>750666.18146261957</v>
      </c>
      <c r="M12">
        <f t="shared" si="4"/>
        <v>644685.45542426838</v>
      </c>
      <c r="N12">
        <f>N11*N11/N10</f>
        <v>7.9150050988575664</v>
      </c>
      <c r="O12" s="7">
        <f>H12/Poblacion!B12</f>
        <v>0.5728398286286257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B04-294C-461B-8F9C-38A80602434E}">
  <dimension ref="A1:E28"/>
  <sheetViews>
    <sheetView workbookViewId="0">
      <selection activeCell="D2" sqref="D2"/>
    </sheetView>
  </sheetViews>
  <sheetFormatPr baseColWidth="10" defaultRowHeight="14.4" x14ac:dyDescent="0.3"/>
  <cols>
    <col min="5" max="5" width="14" bestFit="1" customWidth="1"/>
  </cols>
  <sheetData>
    <row r="1" spans="1:5" x14ac:dyDescent="0.3">
      <c r="A1" t="s">
        <v>0</v>
      </c>
      <c r="B1" t="s">
        <v>50</v>
      </c>
      <c r="C1" t="s">
        <v>55</v>
      </c>
      <c r="D1" t="s">
        <v>56</v>
      </c>
      <c r="E1" t="s">
        <v>54</v>
      </c>
    </row>
    <row r="2" spans="1:5" x14ac:dyDescent="0.3">
      <c r="A2">
        <v>2016</v>
      </c>
      <c r="B2" t="s">
        <v>51</v>
      </c>
      <c r="C2">
        <v>52.401321146421608</v>
      </c>
      <c r="D2">
        <v>483890.38323788019</v>
      </c>
      <c r="E2" s="10">
        <f>D2*C2/100</f>
        <v>253564.95371713187</v>
      </c>
    </row>
    <row r="3" spans="1:5" x14ac:dyDescent="0.3">
      <c r="A3">
        <v>2016</v>
      </c>
      <c r="B3" t="s">
        <v>52</v>
      </c>
      <c r="C3">
        <v>59.836613547194318</v>
      </c>
      <c r="D3">
        <v>1209711.0600073631</v>
      </c>
      <c r="E3" s="10">
        <f t="shared" ref="E3:E28" si="0">D3*C3/100</f>
        <v>723850.1320142739</v>
      </c>
    </row>
    <row r="4" spans="1:5" x14ac:dyDescent="0.3">
      <c r="A4">
        <v>2016</v>
      </c>
      <c r="B4" t="s">
        <v>53</v>
      </c>
      <c r="C4">
        <v>97.267732647818349</v>
      </c>
      <c r="D4">
        <v>213811.89421333969</v>
      </c>
      <c r="E4" s="10">
        <f t="shared" si="0"/>
        <v>207969.98163266745</v>
      </c>
    </row>
    <row r="5" spans="1:5" x14ac:dyDescent="0.3">
      <c r="A5">
        <v>2017</v>
      </c>
      <c r="B5" t="s">
        <v>51</v>
      </c>
      <c r="C5">
        <v>52.74192772468934</v>
      </c>
      <c r="D5">
        <v>487784.02389809192</v>
      </c>
      <c r="E5" s="10">
        <f t="shared" si="0"/>
        <v>257266.697336913</v>
      </c>
    </row>
    <row r="6" spans="1:5" x14ac:dyDescent="0.3">
      <c r="A6">
        <v>2017</v>
      </c>
      <c r="B6" t="s">
        <v>52</v>
      </c>
      <c r="C6">
        <v>59.093999166848839</v>
      </c>
      <c r="D6">
        <v>1221747.6571287659</v>
      </c>
      <c r="E6" s="10">
        <f t="shared" si="0"/>
        <v>721979.55032466818</v>
      </c>
    </row>
    <row r="7" spans="1:5" x14ac:dyDescent="0.3">
      <c r="A7">
        <v>2017</v>
      </c>
      <c r="B7" t="s">
        <v>53</v>
      </c>
      <c r="C7">
        <v>97.846973280710699</v>
      </c>
      <c r="D7">
        <v>219655.29807353989</v>
      </c>
      <c r="E7" s="10">
        <f t="shared" si="0"/>
        <v>214926.06081568199</v>
      </c>
    </row>
    <row r="8" spans="1:5" x14ac:dyDescent="0.3">
      <c r="A8">
        <v>2018</v>
      </c>
      <c r="B8" t="s">
        <v>51</v>
      </c>
      <c r="C8">
        <v>48.853199755194645</v>
      </c>
      <c r="D8">
        <v>491118.75222357002</v>
      </c>
      <c r="E8" s="10">
        <f t="shared" si="0"/>
        <v>239927.22505900011</v>
      </c>
    </row>
    <row r="9" spans="1:5" x14ac:dyDescent="0.3">
      <c r="A9">
        <v>2018</v>
      </c>
      <c r="B9" t="s">
        <v>52</v>
      </c>
      <c r="C9">
        <v>57.272440108455427</v>
      </c>
      <c r="D9">
        <v>1234235.8229636799</v>
      </c>
      <c r="E9" s="10">
        <f t="shared" si="0"/>
        <v>706876.9725039755</v>
      </c>
    </row>
    <row r="10" spans="1:5" x14ac:dyDescent="0.3">
      <c r="A10">
        <v>2018</v>
      </c>
      <c r="B10" t="s">
        <v>53</v>
      </c>
      <c r="C10">
        <v>96.714810632549543</v>
      </c>
      <c r="D10">
        <v>225387.7541375217</v>
      </c>
      <c r="E10" s="10">
        <f t="shared" si="0"/>
        <v>217983.33960306045</v>
      </c>
    </row>
    <row r="11" spans="1:5" x14ac:dyDescent="0.3">
      <c r="A11">
        <v>2019</v>
      </c>
      <c r="B11" t="s">
        <v>51</v>
      </c>
      <c r="C11">
        <v>46.948472168665489</v>
      </c>
      <c r="D11">
        <v>492737.04871344881</v>
      </c>
      <c r="E11" s="10">
        <f t="shared" si="0"/>
        <v>231332.51617993723</v>
      </c>
    </row>
    <row r="12" spans="1:5" x14ac:dyDescent="0.3">
      <c r="A12">
        <v>2019</v>
      </c>
      <c r="B12" t="s">
        <v>52</v>
      </c>
      <c r="C12">
        <v>56.8891196140491</v>
      </c>
      <c r="D12">
        <v>1248136.683835899</v>
      </c>
      <c r="E12" s="10">
        <f t="shared" si="0"/>
        <v>710053.9710142304</v>
      </c>
    </row>
    <row r="13" spans="1:5" x14ac:dyDescent="0.3">
      <c r="A13">
        <v>2019</v>
      </c>
      <c r="B13" t="s">
        <v>53</v>
      </c>
      <c r="C13">
        <v>97.34934579775225</v>
      </c>
      <c r="D13">
        <v>230787.5762789429</v>
      </c>
      <c r="E13" s="10">
        <f t="shared" si="0"/>
        <v>224670.19569003937</v>
      </c>
    </row>
    <row r="14" spans="1:5" x14ac:dyDescent="0.3">
      <c r="A14">
        <v>2020</v>
      </c>
      <c r="B14" t="s">
        <v>51</v>
      </c>
      <c r="C14">
        <v>49.308913818702138</v>
      </c>
      <c r="D14">
        <v>490965.30056296219</v>
      </c>
      <c r="E14" s="10">
        <f t="shared" si="0"/>
        <v>242089.65693432293</v>
      </c>
    </row>
    <row r="15" spans="1:5" x14ac:dyDescent="0.3">
      <c r="A15">
        <v>2020</v>
      </c>
      <c r="B15" t="s">
        <v>52</v>
      </c>
      <c r="C15">
        <v>55.804723728056693</v>
      </c>
      <c r="D15">
        <v>1264687.5829503571</v>
      </c>
      <c r="E15" s="10">
        <f t="shared" si="0"/>
        <v>705755.4116884846</v>
      </c>
    </row>
    <row r="16" spans="1:5" x14ac:dyDescent="0.3">
      <c r="A16">
        <v>2020</v>
      </c>
      <c r="B16" t="s">
        <v>53</v>
      </c>
      <c r="C16">
        <v>97.755344722041926</v>
      </c>
      <c r="D16">
        <v>235569.52848986379</v>
      </c>
      <c r="E16" s="10">
        <f t="shared" si="0"/>
        <v>230281.8046353551</v>
      </c>
    </row>
    <row r="17" spans="1:5" x14ac:dyDescent="0.3">
      <c r="A17">
        <v>2021</v>
      </c>
      <c r="B17" t="s">
        <v>51</v>
      </c>
      <c r="C17">
        <v>47.483877349633666</v>
      </c>
      <c r="D17">
        <v>484364.81144003401</v>
      </c>
      <c r="E17" s="10">
        <f t="shared" si="0"/>
        <v>229995.19298897014</v>
      </c>
    </row>
    <row r="18" spans="1:5" x14ac:dyDescent="0.3">
      <c r="A18">
        <v>2021</v>
      </c>
      <c r="B18" t="s">
        <v>52</v>
      </c>
      <c r="C18">
        <v>57.334769028341903</v>
      </c>
      <c r="D18">
        <v>1284789.1312804881</v>
      </c>
      <c r="E18" s="10">
        <f t="shared" si="0"/>
        <v>736630.8809209083</v>
      </c>
    </row>
    <row r="19" spans="1:5" x14ac:dyDescent="0.3">
      <c r="A19">
        <v>2021</v>
      </c>
      <c r="B19" t="s">
        <v>53</v>
      </c>
      <c r="C19">
        <v>97.575987158468877</v>
      </c>
      <c r="D19">
        <v>239512.5930986857</v>
      </c>
      <c r="E19" s="10">
        <f t="shared" si="0"/>
        <v>233706.77708488939</v>
      </c>
    </row>
    <row r="20" spans="1:5" x14ac:dyDescent="0.3">
      <c r="A20">
        <v>2022</v>
      </c>
      <c r="B20" t="s">
        <v>51</v>
      </c>
      <c r="C20">
        <v>49.725211786174164</v>
      </c>
      <c r="D20">
        <v>473199.00757613749</v>
      </c>
      <c r="E20" s="10">
        <f t="shared" si="0"/>
        <v>235299.20868730868</v>
      </c>
    </row>
    <row r="21" spans="1:5" x14ac:dyDescent="0.3">
      <c r="A21">
        <v>2022</v>
      </c>
      <c r="B21" t="s">
        <v>52</v>
      </c>
      <c r="C21">
        <v>56.702105734111107</v>
      </c>
      <c r="D21">
        <v>1307440.569685265</v>
      </c>
      <c r="E21" s="10">
        <f t="shared" si="0"/>
        <v>741346.33423360344</v>
      </c>
    </row>
    <row r="22" spans="1:5" x14ac:dyDescent="0.3">
      <c r="A22">
        <v>2022</v>
      </c>
      <c r="B22" t="s">
        <v>53</v>
      </c>
      <c r="C22">
        <v>97.29087275585367</v>
      </c>
      <c r="D22">
        <v>242778.9120274107</v>
      </c>
      <c r="E22" s="10">
        <f t="shared" si="0"/>
        <v>236201.72237863406</v>
      </c>
    </row>
    <row r="23" spans="1:5" x14ac:dyDescent="0.3">
      <c r="A23">
        <v>2023</v>
      </c>
      <c r="B23" t="s">
        <v>51</v>
      </c>
      <c r="C23">
        <v>44.036873676717462</v>
      </c>
      <c r="D23">
        <v>459662.76450476568</v>
      </c>
      <c r="E23" s="10">
        <f t="shared" si="0"/>
        <v>202421.11094387097</v>
      </c>
    </row>
    <row r="24" spans="1:5" x14ac:dyDescent="0.3">
      <c r="A24">
        <v>2023</v>
      </c>
      <c r="B24" t="s">
        <v>52</v>
      </c>
      <c r="C24">
        <v>51.864630137123399</v>
      </c>
      <c r="D24">
        <v>1328957.955988802</v>
      </c>
      <c r="E24" s="10">
        <f t="shared" si="0"/>
        <v>689259.12855146732</v>
      </c>
    </row>
    <row r="25" spans="1:5" x14ac:dyDescent="0.3">
      <c r="A25">
        <v>2023</v>
      </c>
      <c r="B25" t="s">
        <v>53</v>
      </c>
      <c r="C25">
        <v>97.094563456646995</v>
      </c>
      <c r="D25">
        <v>246097.69366380139</v>
      </c>
      <c r="E25" s="10">
        <f t="shared" si="0"/>
        <v>238947.48133974438</v>
      </c>
    </row>
    <row r="26" spans="1:5" x14ac:dyDescent="0.3">
      <c r="A26">
        <v>2024</v>
      </c>
      <c r="B26" t="s">
        <v>51</v>
      </c>
      <c r="C26">
        <v>44.621146688549693</v>
      </c>
      <c r="D26">
        <v>444991.69484331599</v>
      </c>
      <c r="E26" s="10">
        <f t="shared" si="0"/>
        <v>198560.39690789944</v>
      </c>
    </row>
    <row r="27" spans="1:5" x14ac:dyDescent="0.3">
      <c r="A27">
        <v>2024</v>
      </c>
      <c r="B27" t="s">
        <v>52</v>
      </c>
      <c r="C27">
        <v>52.815700679031671</v>
      </c>
      <c r="D27">
        <v>1347871.9756624519</v>
      </c>
      <c r="E27" s="10">
        <f t="shared" si="0"/>
        <v>711888.02820243116</v>
      </c>
    </row>
    <row r="28" spans="1:5" x14ac:dyDescent="0.3">
      <c r="A28">
        <v>2024</v>
      </c>
      <c r="B28" t="s">
        <v>53</v>
      </c>
      <c r="C28">
        <v>97.244435227319229</v>
      </c>
      <c r="D28">
        <v>249889.69688681711</v>
      </c>
      <c r="E28" s="10">
        <f t="shared" si="0"/>
        <v>243003.82442884523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E1EF-7ADA-4F3D-8D94-AF511C7B1341}">
  <dimension ref="A1:I14"/>
  <sheetViews>
    <sheetView tabSelected="1" workbookViewId="0">
      <selection activeCell="H2" sqref="H2"/>
    </sheetView>
  </sheetViews>
  <sheetFormatPr baseColWidth="10" defaultRowHeight="14.4" x14ac:dyDescent="0.3"/>
  <cols>
    <col min="2" max="2" width="14.5546875" bestFit="1" customWidth="1"/>
    <col min="3" max="3" width="15.5546875" bestFit="1" customWidth="1"/>
    <col min="4" max="4" width="25.6640625" bestFit="1" customWidth="1"/>
    <col min="5" max="5" width="17.77734375" bestFit="1" customWidth="1"/>
    <col min="6" max="6" width="16.44140625" bestFit="1" customWidth="1"/>
    <col min="7" max="7" width="20" bestFit="1" customWidth="1"/>
    <col min="8" max="8" width="13.44140625" bestFit="1" customWidth="1"/>
  </cols>
  <sheetData>
    <row r="1" spans="1:9" x14ac:dyDescent="0.3">
      <c r="A1" s="1" t="s">
        <v>0</v>
      </c>
      <c r="B1" s="1" t="s">
        <v>44</v>
      </c>
      <c r="C1" s="1" t="s">
        <v>45</v>
      </c>
      <c r="D1" s="1" t="s">
        <v>46</v>
      </c>
      <c r="E1" s="1" t="s">
        <v>49</v>
      </c>
      <c r="F1" s="1" t="s">
        <v>47</v>
      </c>
      <c r="G1" s="1" t="s">
        <v>48</v>
      </c>
      <c r="H1" s="1" t="s">
        <v>64</v>
      </c>
      <c r="I1" s="1"/>
    </row>
    <row r="2" spans="1:9" x14ac:dyDescent="0.3">
      <c r="A2">
        <v>2014</v>
      </c>
      <c r="B2" s="9">
        <f>C2*D2</f>
        <v>2274.324406405301</v>
      </c>
      <c r="C2" s="9">
        <v>13196</v>
      </c>
      <c r="D2" s="9">
        <f>D4</f>
        <v>0.17234953064605191</v>
      </c>
      <c r="E2">
        <f>GS_pc!J2/GS_pc!I2</f>
        <v>2.5789879936297266</v>
      </c>
      <c r="F2">
        <f t="shared" ref="F2:F11" si="0">E2*B2</f>
        <v>5865.4553377383263</v>
      </c>
      <c r="G2">
        <f t="shared" ref="G2:G11" si="1">F2+B2</f>
        <v>8139.7797441436269</v>
      </c>
      <c r="H2">
        <f t="shared" ref="H2:H11" si="2">G2/C2</f>
        <v>0.61683690088993837</v>
      </c>
    </row>
    <row r="3" spans="1:9" x14ac:dyDescent="0.3">
      <c r="A3">
        <v>2015</v>
      </c>
      <c r="B3" s="9">
        <f>C3*D3</f>
        <v>2372.9083379348426</v>
      </c>
      <c r="C3" s="9">
        <v>13768</v>
      </c>
      <c r="D3" s="9">
        <f>D4</f>
        <v>0.17234953064605191</v>
      </c>
      <c r="E3">
        <f>GS_pc!J3/GS_pc!I3</f>
        <v>2.6425498257887234</v>
      </c>
      <c r="F3">
        <f t="shared" si="0"/>
        <v>6270.5285150223281</v>
      </c>
      <c r="G3">
        <f t="shared" si="1"/>
        <v>8643.4368529571711</v>
      </c>
      <c r="H3">
        <f t="shared" si="2"/>
        <v>0.62779175282954469</v>
      </c>
    </row>
    <row r="4" spans="1:9" x14ac:dyDescent="0.3">
      <c r="A4">
        <v>2016</v>
      </c>
      <c r="B4">
        <v>2497</v>
      </c>
      <c r="C4">
        <v>14488</v>
      </c>
      <c r="D4">
        <f>B4/C4</f>
        <v>0.17234953064605191</v>
      </c>
      <c r="E4">
        <f>GS_pc!J4/GS_pc!I4</f>
        <v>2.4589306973434377</v>
      </c>
      <c r="F4">
        <f t="shared" si="0"/>
        <v>6139.9499512665643</v>
      </c>
      <c r="G4">
        <f t="shared" si="1"/>
        <v>8636.9499512665643</v>
      </c>
      <c r="H4">
        <f t="shared" si="2"/>
        <v>0.59614508222436258</v>
      </c>
    </row>
    <row r="5" spans="1:9" x14ac:dyDescent="0.3">
      <c r="A5">
        <v>2017</v>
      </c>
      <c r="B5">
        <v>1950</v>
      </c>
      <c r="C5">
        <v>14380</v>
      </c>
      <c r="D5">
        <f t="shared" ref="D5:D11" si="3">B5/C5</f>
        <v>0.13560500695410291</v>
      </c>
      <c r="E5">
        <f>GS_pc!J5/GS_pc!I5</f>
        <v>2.4515372272249514</v>
      </c>
      <c r="F5">
        <f t="shared" si="0"/>
        <v>4780.4975930886549</v>
      </c>
      <c r="G5">
        <f t="shared" si="1"/>
        <v>6730.4975930886549</v>
      </c>
      <c r="H5">
        <f t="shared" si="2"/>
        <v>0.4680457297001846</v>
      </c>
    </row>
    <row r="6" spans="1:9" x14ac:dyDescent="0.3">
      <c r="A6">
        <v>2018</v>
      </c>
      <c r="B6">
        <v>2176</v>
      </c>
      <c r="C6">
        <v>13968</v>
      </c>
      <c r="D6">
        <f t="shared" si="3"/>
        <v>0.15578465063001146</v>
      </c>
      <c r="E6">
        <f>GS_pc!J6/GS_pc!I6</f>
        <v>2.5421889306097447</v>
      </c>
      <c r="F6">
        <f t="shared" si="0"/>
        <v>5531.8031130068048</v>
      </c>
      <c r="G6">
        <f t="shared" si="1"/>
        <v>7707.8031130068048</v>
      </c>
      <c r="H6">
        <f t="shared" si="2"/>
        <v>0.55181866502053301</v>
      </c>
    </row>
    <row r="7" spans="1:9" x14ac:dyDescent="0.3">
      <c r="A7">
        <v>2019</v>
      </c>
      <c r="B7">
        <v>2258</v>
      </c>
      <c r="C7">
        <v>14277</v>
      </c>
      <c r="D7">
        <f t="shared" si="3"/>
        <v>0.15815647545002451</v>
      </c>
      <c r="E7">
        <f>GS_pc!J7/GS_pc!I7</f>
        <v>2.5825334893594203</v>
      </c>
      <c r="F7">
        <f t="shared" si="0"/>
        <v>5831.360618973571</v>
      </c>
      <c r="G7">
        <f t="shared" si="1"/>
        <v>8089.360618973571</v>
      </c>
      <c r="H7">
        <f t="shared" si="2"/>
        <v>0.56660086985876379</v>
      </c>
    </row>
    <row r="8" spans="1:9" x14ac:dyDescent="0.3">
      <c r="A8">
        <v>2020</v>
      </c>
      <c r="B8">
        <v>1622</v>
      </c>
      <c r="C8">
        <v>16513</v>
      </c>
      <c r="D8">
        <f t="shared" si="3"/>
        <v>9.822564040452976E-2</v>
      </c>
      <c r="E8">
        <f>GS_pc!J8/GS_pc!I8</f>
        <v>3.0297562867197847</v>
      </c>
      <c r="F8">
        <f t="shared" si="0"/>
        <v>4914.2646970594906</v>
      </c>
      <c r="G8">
        <f t="shared" si="1"/>
        <v>6536.2646970594906</v>
      </c>
      <c r="H8">
        <f t="shared" si="2"/>
        <v>0.39582539193723071</v>
      </c>
    </row>
    <row r="9" spans="1:9" x14ac:dyDescent="0.3">
      <c r="A9">
        <v>2021</v>
      </c>
      <c r="B9">
        <v>4511</v>
      </c>
      <c r="C9">
        <v>18080</v>
      </c>
      <c r="D9">
        <f t="shared" si="3"/>
        <v>0.24950221238938053</v>
      </c>
      <c r="E9">
        <f>GS_pc!J9/GS_pc!I9</f>
        <v>2.7747671180416753</v>
      </c>
      <c r="F9">
        <f t="shared" si="0"/>
        <v>12516.974469485996</v>
      </c>
      <c r="G9">
        <f t="shared" si="1"/>
        <v>17027.974469485998</v>
      </c>
      <c r="H9">
        <f t="shared" si="2"/>
        <v>0.94181274720608399</v>
      </c>
    </row>
    <row r="10" spans="1:9" x14ac:dyDescent="0.3">
      <c r="A10">
        <v>2022</v>
      </c>
      <c r="B10">
        <v>3144</v>
      </c>
      <c r="C10">
        <v>16464</v>
      </c>
      <c r="D10">
        <f t="shared" si="3"/>
        <v>0.19096209912536444</v>
      </c>
      <c r="E10">
        <f>GS_pc!J10/GS_pc!I10</f>
        <v>2.7850470438031203</v>
      </c>
      <c r="F10">
        <f t="shared" si="0"/>
        <v>8756.1879057170099</v>
      </c>
      <c r="G10">
        <f t="shared" si="1"/>
        <v>11900.18790571701</v>
      </c>
      <c r="H10">
        <f t="shared" si="2"/>
        <v>0.72280052877289902</v>
      </c>
    </row>
    <row r="11" spans="1:9" x14ac:dyDescent="0.3">
      <c r="A11">
        <v>2023</v>
      </c>
      <c r="B11">
        <v>1951</v>
      </c>
      <c r="C11">
        <v>14061</v>
      </c>
      <c r="D11">
        <f t="shared" si="3"/>
        <v>0.13875257805277008</v>
      </c>
      <c r="E11">
        <f>GS_pc!J11/GS_pc!I11</f>
        <v>3.0834609810211355</v>
      </c>
      <c r="F11">
        <f t="shared" si="0"/>
        <v>6015.8323739722355</v>
      </c>
      <c r="G11">
        <f t="shared" si="1"/>
        <v>7966.8323739722355</v>
      </c>
      <c r="H11">
        <f t="shared" si="2"/>
        <v>0.5665907384945762</v>
      </c>
    </row>
    <row r="12" spans="1:9" x14ac:dyDescent="0.3">
      <c r="A12">
        <v>2024</v>
      </c>
      <c r="B12">
        <v>1325</v>
      </c>
      <c r="H12">
        <v>0.5665907384945762</v>
      </c>
    </row>
    <row r="13" spans="1:9" x14ac:dyDescent="0.3">
      <c r="A13">
        <v>2025</v>
      </c>
      <c r="B13">
        <v>1915</v>
      </c>
    </row>
    <row r="14" spans="1:9" x14ac:dyDescent="0.3">
      <c r="A14">
        <v>2026</v>
      </c>
      <c r="B14">
        <v>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27BB-698C-4BB0-A09E-3D84F4D13E12}">
  <dimension ref="A1:C43"/>
  <sheetViews>
    <sheetView workbookViewId="0">
      <selection activeCell="B1" sqref="B1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8</v>
      </c>
      <c r="C1" s="1" t="s">
        <v>7</v>
      </c>
    </row>
    <row r="2" spans="1:3" x14ac:dyDescent="0.3">
      <c r="A2">
        <v>2014</v>
      </c>
      <c r="B2">
        <v>1</v>
      </c>
      <c r="C2">
        <v>4.5</v>
      </c>
    </row>
    <row r="3" spans="1:3" x14ac:dyDescent="0.3">
      <c r="A3">
        <v>2014</v>
      </c>
      <c r="B3">
        <v>2</v>
      </c>
      <c r="C3">
        <v>4.8</v>
      </c>
    </row>
    <row r="4" spans="1:3" x14ac:dyDescent="0.3">
      <c r="A4">
        <v>2014</v>
      </c>
      <c r="B4">
        <v>3</v>
      </c>
      <c r="C4">
        <v>5.8</v>
      </c>
    </row>
    <row r="5" spans="1:3" x14ac:dyDescent="0.3">
      <c r="A5">
        <v>2014</v>
      </c>
      <c r="B5">
        <v>4</v>
      </c>
      <c r="C5">
        <v>4.5999999999999996</v>
      </c>
    </row>
    <row r="6" spans="1:3" x14ac:dyDescent="0.3">
      <c r="A6">
        <v>2015</v>
      </c>
      <c r="B6">
        <v>1</v>
      </c>
      <c r="C6">
        <v>3.5</v>
      </c>
    </row>
    <row r="7" spans="1:3" x14ac:dyDescent="0.3">
      <c r="A7">
        <v>2015</v>
      </c>
      <c r="B7">
        <v>2</v>
      </c>
      <c r="C7">
        <v>3.7</v>
      </c>
    </row>
    <row r="8" spans="1:3" x14ac:dyDescent="0.3">
      <c r="A8">
        <v>2015</v>
      </c>
      <c r="B8">
        <v>3</v>
      </c>
      <c r="C8">
        <v>3.1</v>
      </c>
    </row>
    <row r="9" spans="1:3" x14ac:dyDescent="0.3">
      <c r="A9">
        <v>2016</v>
      </c>
      <c r="B9">
        <v>2</v>
      </c>
      <c r="C9">
        <v>4.4000000000000004</v>
      </c>
    </row>
    <row r="10" spans="1:3" x14ac:dyDescent="0.3">
      <c r="A10">
        <v>2016</v>
      </c>
      <c r="B10">
        <v>3</v>
      </c>
      <c r="C10">
        <v>4.2</v>
      </c>
    </row>
    <row r="11" spans="1:3" x14ac:dyDescent="0.3">
      <c r="A11">
        <v>2016</v>
      </c>
      <c r="B11">
        <v>4</v>
      </c>
      <c r="C11">
        <v>3.2</v>
      </c>
    </row>
    <row r="12" spans="1:3" x14ac:dyDescent="0.3">
      <c r="A12">
        <v>2017</v>
      </c>
      <c r="B12">
        <v>1</v>
      </c>
      <c r="C12">
        <v>4.7</v>
      </c>
    </row>
    <row r="13" spans="1:3" x14ac:dyDescent="0.3">
      <c r="A13">
        <v>2017</v>
      </c>
      <c r="B13">
        <v>2</v>
      </c>
      <c r="C13">
        <v>3.7</v>
      </c>
    </row>
    <row r="14" spans="1:3" x14ac:dyDescent="0.3">
      <c r="A14">
        <v>2017</v>
      </c>
      <c r="B14">
        <v>3</v>
      </c>
      <c r="C14">
        <v>4.4000000000000004</v>
      </c>
    </row>
    <row r="15" spans="1:3" x14ac:dyDescent="0.3">
      <c r="A15">
        <v>2017</v>
      </c>
      <c r="B15">
        <v>4</v>
      </c>
      <c r="C15">
        <v>2.7</v>
      </c>
    </row>
    <row r="16" spans="1:3" x14ac:dyDescent="0.3">
      <c r="A16">
        <v>2018</v>
      </c>
      <c r="B16">
        <v>1</v>
      </c>
      <c r="C16">
        <v>4.1696001952556596</v>
      </c>
    </row>
    <row r="17" spans="1:3" x14ac:dyDescent="0.3">
      <c r="A17">
        <v>2018</v>
      </c>
      <c r="B17">
        <v>2</v>
      </c>
      <c r="C17">
        <v>5.5078628574739401</v>
      </c>
    </row>
    <row r="18" spans="1:3" x14ac:dyDescent="0.3">
      <c r="A18">
        <v>2018</v>
      </c>
      <c r="B18">
        <v>3</v>
      </c>
      <c r="C18">
        <v>6.3551904607143301</v>
      </c>
    </row>
    <row r="19" spans="1:3" x14ac:dyDescent="0.3">
      <c r="A19">
        <v>2018</v>
      </c>
      <c r="B19">
        <v>4</v>
      </c>
      <c r="C19">
        <v>5.8530041603437004</v>
      </c>
    </row>
    <row r="20" spans="1:3" x14ac:dyDescent="0.3">
      <c r="A20">
        <v>2019</v>
      </c>
      <c r="B20">
        <v>1</v>
      </c>
      <c r="C20">
        <v>8.4</v>
      </c>
    </row>
    <row r="21" spans="1:3" x14ac:dyDescent="0.3">
      <c r="A21">
        <v>2019</v>
      </c>
      <c r="B21">
        <v>2</v>
      </c>
      <c r="C21">
        <v>8.7777606126019307</v>
      </c>
    </row>
    <row r="22" spans="1:3" x14ac:dyDescent="0.3">
      <c r="A22">
        <v>2019</v>
      </c>
      <c r="B22">
        <v>3</v>
      </c>
      <c r="C22">
        <v>8.6340711798459999</v>
      </c>
    </row>
    <row r="23" spans="1:3" x14ac:dyDescent="0.3">
      <c r="A23">
        <v>2019</v>
      </c>
      <c r="B23">
        <v>4</v>
      </c>
      <c r="C23">
        <v>7.4526502585910999</v>
      </c>
    </row>
    <row r="24" spans="1:3" x14ac:dyDescent="0.3">
      <c r="A24">
        <v>2020</v>
      </c>
      <c r="B24">
        <v>1</v>
      </c>
      <c r="C24">
        <v>9.7541104161506063</v>
      </c>
    </row>
    <row r="25" spans="1:3" x14ac:dyDescent="0.3">
      <c r="A25">
        <v>2020</v>
      </c>
      <c r="B25">
        <v>2</v>
      </c>
      <c r="C25">
        <v>15.3022840710012</v>
      </c>
    </row>
    <row r="26" spans="1:3" x14ac:dyDescent="0.3">
      <c r="A26">
        <v>2020</v>
      </c>
      <c r="B26">
        <v>3</v>
      </c>
      <c r="C26">
        <v>8.1684014033450296</v>
      </c>
    </row>
    <row r="27" spans="1:3" x14ac:dyDescent="0.3">
      <c r="A27">
        <v>2020</v>
      </c>
      <c r="B27">
        <v>4</v>
      </c>
      <c r="C27">
        <v>10.593911829337983</v>
      </c>
    </row>
    <row r="28" spans="1:3" x14ac:dyDescent="0.3">
      <c r="A28">
        <v>2021</v>
      </c>
      <c r="B28">
        <v>1</v>
      </c>
      <c r="C28">
        <v>8.1888802979170006</v>
      </c>
    </row>
    <row r="29" spans="1:3" x14ac:dyDescent="0.3">
      <c r="A29">
        <v>2021</v>
      </c>
      <c r="B29">
        <v>2</v>
      </c>
      <c r="C29">
        <v>8.5309053362744631</v>
      </c>
    </row>
    <row r="30" spans="1:3" x14ac:dyDescent="0.3">
      <c r="A30">
        <v>2021</v>
      </c>
      <c r="B30">
        <v>3</v>
      </c>
      <c r="C30">
        <v>8.3928158036885563</v>
      </c>
    </row>
    <row r="31" spans="1:3" x14ac:dyDescent="0.3">
      <c r="A31">
        <v>2021</v>
      </c>
      <c r="B31">
        <v>4</v>
      </c>
      <c r="C31">
        <v>6.8686172191673815</v>
      </c>
    </row>
    <row r="32" spans="1:3" x14ac:dyDescent="0.3">
      <c r="A32">
        <v>2022</v>
      </c>
      <c r="B32">
        <v>1</v>
      </c>
      <c r="C32">
        <v>6.4534559298244281</v>
      </c>
    </row>
    <row r="33" spans="1:3" x14ac:dyDescent="0.3">
      <c r="A33">
        <v>2022</v>
      </c>
      <c r="B33">
        <v>2</v>
      </c>
      <c r="C33">
        <v>5.6368444669333497</v>
      </c>
    </row>
    <row r="34" spans="1:3" x14ac:dyDescent="0.3">
      <c r="A34">
        <v>2022</v>
      </c>
      <c r="B34">
        <v>3</v>
      </c>
      <c r="C34">
        <v>5.9760534166347297</v>
      </c>
    </row>
    <row r="35" spans="1:3" x14ac:dyDescent="0.3">
      <c r="A35">
        <v>2022</v>
      </c>
      <c r="B35">
        <v>4</v>
      </c>
      <c r="C35">
        <v>4.3387034805865303</v>
      </c>
    </row>
    <row r="36" spans="1:3" x14ac:dyDescent="0.3">
      <c r="A36">
        <v>2023</v>
      </c>
      <c r="B36">
        <v>1</v>
      </c>
      <c r="C36">
        <v>5.5816553731674201</v>
      </c>
    </row>
    <row r="37" spans="1:3" x14ac:dyDescent="0.3">
      <c r="A37">
        <v>2023</v>
      </c>
      <c r="B37">
        <v>2</v>
      </c>
      <c r="C37">
        <v>5.33115753678985</v>
      </c>
    </row>
    <row r="38" spans="1:3" x14ac:dyDescent="0.3">
      <c r="A38">
        <v>2023</v>
      </c>
      <c r="B38">
        <v>3</v>
      </c>
      <c r="C38">
        <v>5.1331495166483396</v>
      </c>
    </row>
    <row r="39" spans="1:3" x14ac:dyDescent="0.3">
      <c r="A39">
        <v>2023</v>
      </c>
      <c r="B39">
        <v>4</v>
      </c>
      <c r="C39">
        <v>4.2942116849868563</v>
      </c>
    </row>
    <row r="40" spans="1:3" x14ac:dyDescent="0.3">
      <c r="A40">
        <v>2024</v>
      </c>
      <c r="B40">
        <v>1</v>
      </c>
      <c r="C40">
        <v>4.7522319475668251</v>
      </c>
    </row>
    <row r="41" spans="1:3" x14ac:dyDescent="0.3">
      <c r="A41">
        <v>2024</v>
      </c>
      <c r="B41">
        <v>2</v>
      </c>
      <c r="C41">
        <v>6.1</v>
      </c>
    </row>
    <row r="42" spans="1:3" x14ac:dyDescent="0.3">
      <c r="A42">
        <v>2024</v>
      </c>
      <c r="B42">
        <v>3</v>
      </c>
      <c r="C42">
        <v>5</v>
      </c>
    </row>
    <row r="43" spans="1:3" x14ac:dyDescent="0.3">
      <c r="A43">
        <v>2024</v>
      </c>
      <c r="B43">
        <v>4</v>
      </c>
      <c r="C43">
        <v>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8128-8646-4A3E-90EE-D7EE8B8419CC}">
  <dimension ref="A1:G13"/>
  <sheetViews>
    <sheetView workbookViewId="0">
      <selection activeCell="H13" sqref="H13"/>
    </sheetView>
  </sheetViews>
  <sheetFormatPr baseColWidth="10" defaultRowHeight="14.4" x14ac:dyDescent="0.3"/>
  <cols>
    <col min="5" max="5" width="10.88671875" customWidth="1"/>
  </cols>
  <sheetData>
    <row r="1" spans="1:7" x14ac:dyDescent="0.3">
      <c r="A1" s="1" t="s">
        <v>0</v>
      </c>
      <c r="B1" s="1" t="s">
        <v>9</v>
      </c>
      <c r="C1" s="6" t="s">
        <v>10</v>
      </c>
      <c r="D1" s="1" t="s">
        <v>11</v>
      </c>
      <c r="E1" s="1" t="s">
        <v>23</v>
      </c>
      <c r="F1" s="1" t="s">
        <v>63</v>
      </c>
      <c r="G1" s="1" t="s">
        <v>62</v>
      </c>
    </row>
    <row r="2" spans="1:7" x14ac:dyDescent="0.3">
      <c r="A2">
        <v>2013</v>
      </c>
      <c r="B2">
        <f>B3/(1+E3/100)</f>
        <v>197.19826058107151</v>
      </c>
    </row>
    <row r="3" spans="1:7" x14ac:dyDescent="0.3">
      <c r="A3">
        <v>2014</v>
      </c>
      <c r="B3">
        <v>276.63557994885576</v>
      </c>
      <c r="C3">
        <f>(B3/B2-1)*100</f>
        <v>40.282971631550588</v>
      </c>
      <c r="D3">
        <f>$B$13/B3</f>
        <v>123.06186411753195</v>
      </c>
      <c r="E3">
        <v>40.282971631550595</v>
      </c>
      <c r="F3">
        <f t="shared" ref="F3:F4" si="0">F4/(E4/100+1)</f>
        <v>50.159094427410452</v>
      </c>
      <c r="G3">
        <f>$F$13/F3</f>
        <v>125.95323085712577</v>
      </c>
    </row>
    <row r="4" spans="1:7" x14ac:dyDescent="0.3">
      <c r="A4">
        <v>2015</v>
      </c>
      <c r="B4">
        <v>350.16529386870781</v>
      </c>
      <c r="C4">
        <f>(B4/B3-1)*100</f>
        <v>26.579991602470731</v>
      </c>
      <c r="D4">
        <f t="shared" ref="D4:D13" si="1">$B$13/B4</f>
        <v>97.220629073836903</v>
      </c>
      <c r="E4">
        <v>26.579991602470713</v>
      </c>
      <c r="F4">
        <f t="shared" si="0"/>
        <v>63.491377514091504</v>
      </c>
      <c r="G4">
        <f t="shared" ref="G4:G13" si="2">$F$13/F4</f>
        <v>99.504850065630194</v>
      </c>
    </row>
    <row r="5" spans="1:7" x14ac:dyDescent="0.3">
      <c r="A5">
        <v>2016</v>
      </c>
      <c r="B5">
        <v>494.15109164147663</v>
      </c>
      <c r="C5">
        <f t="shared" ref="C5:C12" si="3">(B5/B4-1)*100</f>
        <v>41.119379988227898</v>
      </c>
      <c r="D5">
        <f t="shared" si="1"/>
        <v>68.892471807874301</v>
      </c>
      <c r="E5">
        <v>41.119379988227905</v>
      </c>
      <c r="F5">
        <f>F6/(E6/100+1)</f>
        <v>89.598638293871076</v>
      </c>
      <c r="G5">
        <f t="shared" si="2"/>
        <v>70.51111624351725</v>
      </c>
    </row>
    <row r="6" spans="1:7" x14ac:dyDescent="0.3">
      <c r="A6">
        <v>2017</v>
      </c>
      <c r="B6">
        <v>592.1570455728355</v>
      </c>
      <c r="C6">
        <f t="shared" si="3"/>
        <v>19.833195876548928</v>
      </c>
      <c r="D6">
        <f t="shared" si="1"/>
        <v>57.490306674994045</v>
      </c>
      <c r="E6">
        <v>26.00637928190794</v>
      </c>
      <c r="F6">
        <v>112.9</v>
      </c>
      <c r="G6">
        <f t="shared" si="2"/>
        <v>55.958370239149687</v>
      </c>
    </row>
    <row r="7" spans="1:7" x14ac:dyDescent="0.3">
      <c r="A7">
        <v>2018</v>
      </c>
      <c r="B7">
        <v>815.97786931769622</v>
      </c>
      <c r="C7">
        <f t="shared" si="3"/>
        <v>37.797544657826876</v>
      </c>
      <c r="D7">
        <f t="shared" si="1"/>
        <v>41.720849829183514</v>
      </c>
      <c r="E7">
        <v>42.033668957503068</v>
      </c>
      <c r="F7">
        <v>151.6</v>
      </c>
      <c r="G7">
        <f t="shared" si="2"/>
        <v>41.67348284960422</v>
      </c>
    </row>
    <row r="8" spans="1:7" x14ac:dyDescent="0.3">
      <c r="A8">
        <v>2019</v>
      </c>
      <c r="B8">
        <v>1259.9462273765439</v>
      </c>
      <c r="C8">
        <f t="shared" si="3"/>
        <v>54.409362649759707</v>
      </c>
      <c r="D8">
        <f t="shared" si="1"/>
        <v>27.019637354385804</v>
      </c>
      <c r="E8">
        <v>49.195579059661185</v>
      </c>
      <c r="F8">
        <v>232.8</v>
      </c>
      <c r="G8">
        <f t="shared" si="2"/>
        <v>27.137886597938142</v>
      </c>
    </row>
    <row r="9" spans="1:7" x14ac:dyDescent="0.3">
      <c r="A9">
        <v>2020</v>
      </c>
      <c r="B9">
        <v>1788.6137580045636</v>
      </c>
      <c r="C9">
        <f t="shared" si="3"/>
        <v>41.959531219741784</v>
      </c>
      <c r="D9">
        <f t="shared" si="1"/>
        <v>19.033337967678698</v>
      </c>
      <c r="E9">
        <v>40.08308780119927</v>
      </c>
      <c r="F9">
        <v>330.5</v>
      </c>
      <c r="G9">
        <f t="shared" si="2"/>
        <v>19.115582450832072</v>
      </c>
    </row>
    <row r="10" spans="1:7" x14ac:dyDescent="0.3">
      <c r="A10">
        <v>2021</v>
      </c>
      <c r="B10">
        <v>2670.7967928439261</v>
      </c>
      <c r="C10">
        <f t="shared" si="3"/>
        <v>49.322165330068522</v>
      </c>
      <c r="D10">
        <f t="shared" si="1"/>
        <v>12.746492073435004</v>
      </c>
      <c r="E10">
        <v>53.80208776655536</v>
      </c>
      <c r="F10">
        <v>490.6</v>
      </c>
      <c r="G10">
        <f t="shared" si="2"/>
        <v>12.877496942519363</v>
      </c>
    </row>
    <row r="11" spans="1:7" x14ac:dyDescent="0.3">
      <c r="A11">
        <v>2022</v>
      </c>
      <c r="B11">
        <v>4658.9106925332535</v>
      </c>
      <c r="C11">
        <f t="shared" si="3"/>
        <v>74.438980345349975</v>
      </c>
      <c r="D11">
        <f t="shared" si="1"/>
        <v>7.3071351645141558</v>
      </c>
      <c r="E11">
        <v>69.876084245926847</v>
      </c>
      <c r="F11">
        <v>845.9</v>
      </c>
      <c r="G11">
        <f t="shared" si="2"/>
        <v>7.4686133112661075</v>
      </c>
    </row>
    <row r="12" spans="1:7" x14ac:dyDescent="0.3">
      <c r="A12">
        <v>2023</v>
      </c>
      <c r="B12">
        <v>10879.690374779269</v>
      </c>
      <c r="C12">
        <f t="shared" si="3"/>
        <v>133.52433847285249</v>
      </c>
      <c r="D12">
        <f t="shared" si="1"/>
        <v>3.1290679216991428</v>
      </c>
      <c r="E12">
        <v>135.36887631059167</v>
      </c>
      <c r="F12">
        <v>1975</v>
      </c>
      <c r="G12">
        <f t="shared" si="2"/>
        <v>3.1988354430379746</v>
      </c>
    </row>
    <row r="13" spans="1:7" x14ac:dyDescent="0.3">
      <c r="A13">
        <v>2024</v>
      </c>
      <c r="B13">
        <v>34043.290149740737</v>
      </c>
      <c r="C13">
        <f>(B13/B12-1)*100</f>
        <v>212.9067921699143</v>
      </c>
      <c r="D13">
        <f t="shared" si="1"/>
        <v>1</v>
      </c>
      <c r="E13">
        <v>207.92186095339991</v>
      </c>
      <c r="F13">
        <v>6317.7</v>
      </c>
      <c r="G13">
        <f t="shared" si="2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A4A2-E473-4E88-B524-992F06605C71}">
  <dimension ref="A1:B13"/>
  <sheetViews>
    <sheetView workbookViewId="0">
      <selection activeCell="F25" sqref="F25"/>
    </sheetView>
  </sheetViews>
  <sheetFormatPr baseColWidth="10" defaultRowHeight="14.4" x14ac:dyDescent="0.3"/>
  <sheetData>
    <row r="1" spans="1:2" x14ac:dyDescent="0.3">
      <c r="A1" s="1" t="s">
        <v>0</v>
      </c>
      <c r="B1" s="6" t="s">
        <v>18</v>
      </c>
    </row>
    <row r="2" spans="1:2" x14ac:dyDescent="0.3">
      <c r="A2">
        <v>2014</v>
      </c>
      <c r="B2">
        <v>8.1188161157024794</v>
      </c>
    </row>
    <row r="3" spans="1:2" x14ac:dyDescent="0.3">
      <c r="A3">
        <v>2015</v>
      </c>
      <c r="B3">
        <v>9.2689340163934428</v>
      </c>
    </row>
    <row r="4" spans="1:2" x14ac:dyDescent="0.3">
      <c r="A4">
        <v>2016</v>
      </c>
      <c r="B4">
        <v>14.779439271255059</v>
      </c>
    </row>
    <row r="5" spans="1:2" x14ac:dyDescent="0.3">
      <c r="A5">
        <v>2017</v>
      </c>
      <c r="B5">
        <v>16.566548373983739</v>
      </c>
    </row>
    <row r="6" spans="1:2" x14ac:dyDescent="0.3">
      <c r="A6">
        <v>2018</v>
      </c>
      <c r="B6">
        <v>28.09371859504132</v>
      </c>
    </row>
    <row r="7" spans="1:2" x14ac:dyDescent="0.3">
      <c r="A7">
        <v>2019</v>
      </c>
      <c r="B7">
        <v>48.242306995884768</v>
      </c>
    </row>
    <row r="8" spans="1:2" x14ac:dyDescent="0.3">
      <c r="A8">
        <v>2020</v>
      </c>
      <c r="B8">
        <v>70.594145833333329</v>
      </c>
    </row>
    <row r="9" spans="1:2" x14ac:dyDescent="0.3">
      <c r="A9">
        <v>2021</v>
      </c>
      <c r="B9">
        <v>95.161463114754099</v>
      </c>
    </row>
    <row r="10" spans="1:2" x14ac:dyDescent="0.3">
      <c r="A10">
        <v>2022</v>
      </c>
      <c r="B10">
        <v>130.80887786885239</v>
      </c>
    </row>
    <row r="11" spans="1:2" x14ac:dyDescent="0.3">
      <c r="A11">
        <v>2023</v>
      </c>
      <c r="B11">
        <v>295.2123242798354</v>
      </c>
    </row>
    <row r="12" spans="1:2" x14ac:dyDescent="0.3">
      <c r="A12">
        <v>2024</v>
      </c>
      <c r="B12">
        <v>916.25430382513662</v>
      </c>
    </row>
    <row r="13" spans="1:2" x14ac:dyDescent="0.3">
      <c r="A13">
        <v>2025</v>
      </c>
      <c r="B13">
        <v>1194.9726567708331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46B-6133-4D36-9C61-3174F8A83159}">
  <dimension ref="A1:H12"/>
  <sheetViews>
    <sheetView workbookViewId="0">
      <selection activeCell="H1" sqref="H1"/>
    </sheetView>
  </sheetViews>
  <sheetFormatPr baseColWidth="10" defaultRowHeight="14.4" x14ac:dyDescent="0.3"/>
  <cols>
    <col min="2" max="2" width="16.6640625" bestFit="1" customWidth="1"/>
  </cols>
  <sheetData>
    <row r="1" spans="1:8" x14ac:dyDescent="0.3">
      <c r="A1" s="1" t="s">
        <v>0</v>
      </c>
      <c r="B1" s="6" t="s">
        <v>22</v>
      </c>
      <c r="C1" s="1" t="s">
        <v>20</v>
      </c>
      <c r="D1" s="1" t="s">
        <v>19</v>
      </c>
      <c r="E1" s="1" t="s">
        <v>21</v>
      </c>
      <c r="F1" s="6" t="s">
        <v>35</v>
      </c>
      <c r="G1" s="6" t="s">
        <v>36</v>
      </c>
      <c r="H1" s="6" t="s">
        <v>37</v>
      </c>
    </row>
    <row r="2" spans="1:8" x14ac:dyDescent="0.3">
      <c r="A2">
        <v>2014</v>
      </c>
      <c r="B2">
        <v>1863627.6805863651</v>
      </c>
      <c r="C2">
        <v>168134.3833151664</v>
      </c>
      <c r="D2">
        <v>202300.03264325939</v>
      </c>
      <c r="E2">
        <v>948968.64131005167</v>
      </c>
      <c r="F2">
        <f>C2/B2</f>
        <v>9.0218869931286499E-2</v>
      </c>
      <c r="G2">
        <f>D2/B2</f>
        <v>0.10855174279210558</v>
      </c>
      <c r="H2">
        <f>E2/B2</f>
        <v>0.50920505806796756</v>
      </c>
    </row>
    <row r="3" spans="1:8" x14ac:dyDescent="0.3">
      <c r="A3">
        <v>2015</v>
      </c>
      <c r="B3">
        <v>1885483.958626183</v>
      </c>
      <c r="C3">
        <v>169399.06251052019</v>
      </c>
      <c r="D3">
        <v>207999.00939066359</v>
      </c>
      <c r="E3">
        <v>959681.4934327025</v>
      </c>
      <c r="F3">
        <f t="shared" ref="F3:F12" si="0">C3/B3</f>
        <v>8.9843809986030934E-2</v>
      </c>
      <c r="G3">
        <f t="shared" ref="G3:G12" si="1">D3/B3</f>
        <v>0.11031597932141388</v>
      </c>
      <c r="H3">
        <f t="shared" ref="H3:H12" si="2">E3/B3</f>
        <v>0.50898417302470911</v>
      </c>
    </row>
    <row r="4" spans="1:8" x14ac:dyDescent="0.3">
      <c r="A4">
        <v>2016</v>
      </c>
      <c r="B4">
        <v>1907187.085262259</v>
      </c>
      <c r="C4">
        <v>170228.24035970611</v>
      </c>
      <c r="D4">
        <v>213811.89421333969</v>
      </c>
      <c r="E4">
        <v>970310.71065746236</v>
      </c>
      <c r="F4">
        <f t="shared" si="0"/>
        <v>8.9256183452132529E-2</v>
      </c>
      <c r="G4">
        <f t="shared" si="1"/>
        <v>0.11210850569698474</v>
      </c>
      <c r="H4">
        <f t="shared" si="2"/>
        <v>0.50876535299316694</v>
      </c>
    </row>
    <row r="5" spans="1:8" x14ac:dyDescent="0.3">
      <c r="A5">
        <v>2017</v>
      </c>
      <c r="B5">
        <v>1928776.1477847919</v>
      </c>
      <c r="C5">
        <v>170602.51279655419</v>
      </c>
      <c r="D5">
        <v>219655.29807353989</v>
      </c>
      <c r="E5">
        <v>980887.7890777149</v>
      </c>
      <c r="F5">
        <f t="shared" si="0"/>
        <v>8.8451173036586936E-2</v>
      </c>
      <c r="G5">
        <f t="shared" si="1"/>
        <v>0.11388325095466106</v>
      </c>
      <c r="H5">
        <f t="shared" si="2"/>
        <v>0.50855449980769873</v>
      </c>
    </row>
    <row r="6" spans="1:8" x14ac:dyDescent="0.3">
      <c r="A6">
        <v>2018</v>
      </c>
      <c r="B6">
        <v>1950235.7563187659</v>
      </c>
      <c r="C6">
        <v>170064.39302285301</v>
      </c>
      <c r="D6">
        <v>225387.7541375217</v>
      </c>
      <c r="E6">
        <v>991435.46310174908</v>
      </c>
      <c r="F6">
        <f t="shared" si="0"/>
        <v>8.7201966465769179E-2</v>
      </c>
      <c r="G6">
        <f t="shared" si="1"/>
        <v>0.11556949123061924</v>
      </c>
      <c r="H6">
        <f t="shared" si="2"/>
        <v>0.50836698070451081</v>
      </c>
    </row>
    <row r="7" spans="1:8" x14ac:dyDescent="0.3">
      <c r="A7">
        <v>2019</v>
      </c>
      <c r="B7">
        <v>1971376.5340201161</v>
      </c>
      <c r="C7">
        <v>167485.4223446557</v>
      </c>
      <c r="D7">
        <v>230787.5762789429</v>
      </c>
      <c r="E7">
        <v>1001913.776779371</v>
      </c>
      <c r="F7">
        <f t="shared" si="0"/>
        <v>8.4958616202614634E-2</v>
      </c>
      <c r="G7">
        <f t="shared" si="1"/>
        <v>0.11706925201565169</v>
      </c>
      <c r="H7">
        <f t="shared" si="2"/>
        <v>0.50823054829420389</v>
      </c>
    </row>
    <row r="8" spans="1:8" x14ac:dyDescent="0.3">
      <c r="A8">
        <v>2020</v>
      </c>
      <c r="B8">
        <v>1991671.9202241399</v>
      </c>
      <c r="C8">
        <v>161262.0048727231</v>
      </c>
      <c r="D8">
        <v>235569.52848986379</v>
      </c>
      <c r="E8">
        <v>1012130.678310293</v>
      </c>
      <c r="F8">
        <f t="shared" si="0"/>
        <v>8.09681570720618E-2</v>
      </c>
      <c r="G8">
        <f t="shared" si="1"/>
        <v>0.11827727553810827</v>
      </c>
      <c r="H8">
        <f t="shared" si="2"/>
        <v>0.50818142688700918</v>
      </c>
    </row>
    <row r="9" spans="1:8" x14ac:dyDescent="0.3">
      <c r="A9">
        <v>2021</v>
      </c>
      <c r="B9">
        <v>2010116.1593961611</v>
      </c>
      <c r="C9">
        <v>150363.84597021871</v>
      </c>
      <c r="D9">
        <v>239512.5930986857</v>
      </c>
      <c r="E9">
        <v>1021630.212995043</v>
      </c>
      <c r="F9">
        <f t="shared" si="0"/>
        <v>7.4803560613824427E-2</v>
      </c>
      <c r="G9">
        <f t="shared" si="1"/>
        <v>0.1191536081032428</v>
      </c>
      <c r="H9">
        <f t="shared" si="2"/>
        <v>0.50824436598825251</v>
      </c>
    </row>
    <row r="10" spans="1:8" x14ac:dyDescent="0.3">
      <c r="A10">
        <v>2022</v>
      </c>
      <c r="B10">
        <v>2025292.3890962929</v>
      </c>
      <c r="C10">
        <v>136268.7542351927</v>
      </c>
      <c r="D10">
        <v>242778.9120274107</v>
      </c>
      <c r="E10">
        <v>1029628.690137318</v>
      </c>
      <c r="F10">
        <f t="shared" si="0"/>
        <v>6.7283496925595654E-2</v>
      </c>
      <c r="G10">
        <f t="shared" si="1"/>
        <v>0.11987351225653953</v>
      </c>
      <c r="H10">
        <f t="shared" si="2"/>
        <v>0.50838520683759114</v>
      </c>
    </row>
    <row r="11" spans="1:8" x14ac:dyDescent="0.3">
      <c r="A11">
        <v>2023</v>
      </c>
      <c r="B11">
        <v>2036164.754471384</v>
      </c>
      <c r="C11">
        <v>123094.5831188334</v>
      </c>
      <c r="D11">
        <v>246097.69366380139</v>
      </c>
      <c r="E11">
        <v>1035369.576688576</v>
      </c>
      <c r="F11">
        <f t="shared" si="0"/>
        <v>6.045413704785909E-2</v>
      </c>
      <c r="G11">
        <f t="shared" si="1"/>
        <v>0.12086335014068726</v>
      </c>
      <c r="H11">
        <f t="shared" si="2"/>
        <v>0.50849007891670928</v>
      </c>
    </row>
    <row r="12" spans="1:8" x14ac:dyDescent="0.3">
      <c r="A12">
        <v>2024</v>
      </c>
      <c r="B12">
        <v>2043506.651418447</v>
      </c>
      <c r="C12">
        <v>112741.96496570449</v>
      </c>
      <c r="D12">
        <v>249889.69688681711</v>
      </c>
      <c r="E12">
        <v>1039144.420338333</v>
      </c>
      <c r="F12">
        <f t="shared" si="0"/>
        <v>5.5170833374800901E-2</v>
      </c>
      <c r="G12">
        <f t="shared" si="1"/>
        <v>0.122284748480443</v>
      </c>
      <c r="H12">
        <f t="shared" si="2"/>
        <v>0.50851041743223002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9439-6200-487D-BFF0-309F02D30C27}">
  <dimension ref="A1:U12"/>
  <sheetViews>
    <sheetView topLeftCell="E1" workbookViewId="0">
      <selection activeCell="S1" sqref="S1"/>
    </sheetView>
  </sheetViews>
  <sheetFormatPr baseColWidth="10" defaultRowHeight="14.4" x14ac:dyDescent="0.3"/>
  <cols>
    <col min="2" max="2" width="11.5546875" customWidth="1"/>
    <col min="3" max="3" width="15.77734375" customWidth="1"/>
    <col min="4" max="4" width="13.88671875" customWidth="1"/>
    <col min="5" max="5" width="12" bestFit="1" customWidth="1"/>
    <col min="10" max="11" width="11.5546875" customWidth="1"/>
    <col min="12" max="14" width="12.6640625" customWidth="1"/>
    <col min="15" max="15" width="10.21875" customWidth="1"/>
    <col min="16" max="17" width="11.5546875" customWidth="1"/>
    <col min="18" max="18" width="18.44140625" customWidth="1"/>
    <col min="19" max="19" width="11.5546875" customWidth="1"/>
    <col min="20" max="20" width="13.109375" customWidth="1"/>
  </cols>
  <sheetData>
    <row r="1" spans="1:21" x14ac:dyDescent="0.3">
      <c r="A1" s="1" t="s">
        <v>0</v>
      </c>
      <c r="B1" s="1" t="s">
        <v>24</v>
      </c>
      <c r="C1" s="6" t="s">
        <v>25</v>
      </c>
      <c r="D1" s="1" t="s">
        <v>27</v>
      </c>
      <c r="E1" s="1" t="s">
        <v>28</v>
      </c>
      <c r="F1" s="6" t="s">
        <v>26</v>
      </c>
      <c r="G1" s="1" t="s">
        <v>57</v>
      </c>
      <c r="H1" s="1" t="s">
        <v>58</v>
      </c>
      <c r="I1" s="1" t="s">
        <v>61</v>
      </c>
      <c r="J1" s="1" t="s">
        <v>59</v>
      </c>
      <c r="K1" s="1" t="s">
        <v>29</v>
      </c>
      <c r="L1" s="6" t="s">
        <v>30</v>
      </c>
      <c r="M1" s="1" t="s">
        <v>39</v>
      </c>
      <c r="N1" s="6" t="s">
        <v>40</v>
      </c>
      <c r="O1" s="1" t="s">
        <v>31</v>
      </c>
      <c r="P1" s="6" t="s">
        <v>32</v>
      </c>
      <c r="Q1" s="1" t="s">
        <v>41</v>
      </c>
      <c r="R1" s="6" t="s">
        <v>33</v>
      </c>
      <c r="S1" s="1" t="s">
        <v>42</v>
      </c>
      <c r="T1" s="6" t="s">
        <v>34</v>
      </c>
      <c r="U1" s="1" t="s">
        <v>60</v>
      </c>
    </row>
    <row r="2" spans="1:21" x14ac:dyDescent="0.3">
      <c r="A2">
        <v>2014</v>
      </c>
      <c r="B2">
        <v>16879259.136710908</v>
      </c>
      <c r="C2">
        <f>B2*Inflacion!D3</f>
        <v>2077193094.2865274</v>
      </c>
      <c r="D2">
        <v>141504451.02480164</v>
      </c>
      <c r="E2">
        <f>D2*Inflacion!D3</f>
        <v>17413801524.040096</v>
      </c>
      <c r="F2">
        <f>E2/Poblacion!B2</f>
        <v>9344.03459738325</v>
      </c>
      <c r="G2">
        <v>3843256.6103745676</v>
      </c>
      <c r="H2">
        <f>G2*Inflacion!G3</f>
        <v>484070587.08968258</v>
      </c>
      <c r="I2">
        <v>43024071</v>
      </c>
      <c r="J2">
        <f>H2/I2</f>
        <v>11.251157220563405</v>
      </c>
      <c r="K2">
        <v>6627376.219976631</v>
      </c>
      <c r="L2" s="4">
        <f>K2/D2</f>
        <v>4.6835107814488769E-2</v>
      </c>
      <c r="M2" s="4">
        <v>10614926.778077822</v>
      </c>
      <c r="N2" s="4">
        <f>M2/D2</f>
        <v>7.5014790709426751E-2</v>
      </c>
      <c r="O2">
        <v>2177</v>
      </c>
      <c r="P2">
        <f>O2*Inflacion!D3</f>
        <v>267905.67818386707</v>
      </c>
      <c r="Q2">
        <v>12356.91</v>
      </c>
      <c r="R2">
        <f>Q2/Poblacion!B2*Inflacion!D3</f>
        <v>0.81597005409047985</v>
      </c>
      <c r="S2" s="5">
        <v>14209.78</v>
      </c>
      <c r="T2">
        <f>S2/Poblacion!B2*Inflacion!D3</f>
        <v>0.93832155087427349</v>
      </c>
      <c r="U2">
        <f>F2*1000/(J2*1000000)</f>
        <v>0.83049542497774687</v>
      </c>
    </row>
    <row r="3" spans="1:21" x14ac:dyDescent="0.3">
      <c r="A3">
        <v>2015</v>
      </c>
      <c r="B3">
        <v>21250655.506507501</v>
      </c>
      <c r="C3">
        <f>B3*Inflacion!D4</f>
        <v>2066002096.5740554</v>
      </c>
      <c r="D3">
        <v>182712165.94929954</v>
      </c>
      <c r="E3">
        <f>D3*Inflacion!D4</f>
        <v>17763391713.034184</v>
      </c>
      <c r="F3">
        <f>E3/Poblacion!B3</f>
        <v>9421.1311805469268</v>
      </c>
      <c r="G3">
        <v>5009211.0525861969</v>
      </c>
      <c r="H3">
        <f>G3*Inflacion!G4</f>
        <v>498440794.73468715</v>
      </c>
      <c r="I3">
        <v>43477012</v>
      </c>
      <c r="J3">
        <f t="shared" ref="J3:J12" si="0">H3/I3</f>
        <v>11.464467584264694</v>
      </c>
      <c r="K3">
        <v>6045325.1264871396</v>
      </c>
      <c r="L3" s="4">
        <f t="shared" ref="L3:L12" si="1">K3/D3</f>
        <v>3.3086604250341191E-2</v>
      </c>
      <c r="M3" s="4">
        <v>15742500.934292037</v>
      </c>
      <c r="N3" s="4">
        <f t="shared" ref="N3:N12" si="2">M3/D3</f>
        <v>8.6160113381067327E-2</v>
      </c>
      <c r="O3">
        <v>2397</v>
      </c>
      <c r="P3">
        <f>O3*Inflacion!D4</f>
        <v>233037.84788998705</v>
      </c>
      <c r="Q3">
        <v>16936.25</v>
      </c>
      <c r="R3">
        <f>Q3/Poblacion!B3*Inflacion!D4</f>
        <v>0.87327864637548824</v>
      </c>
      <c r="S3">
        <v>19325.849999999999</v>
      </c>
      <c r="T3">
        <f>S3/Poblacion!B3*Inflacion!D4</f>
        <v>0.99649285574172142</v>
      </c>
      <c r="U3">
        <f t="shared" ref="U3:U12" si="3">F3*1000/(J3*1000000)</f>
        <v>0.82176787637985871</v>
      </c>
    </row>
    <row r="4" spans="1:21" x14ac:dyDescent="0.3">
      <c r="A4">
        <v>2016</v>
      </c>
      <c r="B4">
        <v>32686940.282212861</v>
      </c>
      <c r="C4">
        <f>B4*Inflacion!D5</f>
        <v>2251884111.8780203</v>
      </c>
      <c r="D4">
        <v>237743752.33098692</v>
      </c>
      <c r="E4">
        <f>D4*Inflacion!D5</f>
        <v>16378754754.960766</v>
      </c>
      <c r="F4">
        <f>E4/Poblacion!B4</f>
        <v>8587.9119471430931</v>
      </c>
      <c r="G4">
        <v>6947932.7140928917</v>
      </c>
      <c r="H4">
        <f>G4*Inflacion!G5</f>
        <v>489906491.25554019</v>
      </c>
      <c r="I4">
        <v>43900313</v>
      </c>
      <c r="J4">
        <f t="shared" si="0"/>
        <v>11.159521601942568</v>
      </c>
      <c r="K4">
        <v>12025860.011464961</v>
      </c>
      <c r="L4" s="4">
        <f t="shared" si="1"/>
        <v>5.0583285127604766E-2</v>
      </c>
      <c r="M4" s="4">
        <v>19676645.492987826</v>
      </c>
      <c r="N4" s="4">
        <f t="shared" si="2"/>
        <v>8.2764090749244984E-2</v>
      </c>
      <c r="O4">
        <v>3360</v>
      </c>
      <c r="P4">
        <f>O4*Inflacion!D5</f>
        <v>231478.70527445766</v>
      </c>
      <c r="Q4">
        <v>21833.040000000001</v>
      </c>
      <c r="R4">
        <f>Q4/Poblacion!B4*Inflacion!D5</f>
        <v>0.78866520453254718</v>
      </c>
      <c r="S4">
        <v>24771.87</v>
      </c>
      <c r="T4">
        <f>S4/Poblacion!B4*Inflacion!D5</f>
        <v>0.8948232550393197</v>
      </c>
      <c r="U4">
        <f t="shared" si="3"/>
        <v>0.7695591489914918</v>
      </c>
    </row>
    <row r="5" spans="1:21" x14ac:dyDescent="0.3">
      <c r="A5">
        <v>2017</v>
      </c>
      <c r="B5">
        <v>39913303.47992631</v>
      </c>
      <c r="C5">
        <f>B5*Inflacion!D6</f>
        <v>2294628057.4730706</v>
      </c>
      <c r="D5">
        <v>306652108.59529889</v>
      </c>
      <c r="E5">
        <f>D5*Inflacion!D6</f>
        <v>17629523765.677311</v>
      </c>
      <c r="F5">
        <f>E5/Poblacion!B5</f>
        <v>9140.2642996829363</v>
      </c>
      <c r="G5">
        <v>8993361.372061966</v>
      </c>
      <c r="H5">
        <f>G5*Inflacion!G6</f>
        <v>503253845.35231072</v>
      </c>
      <c r="I5">
        <v>44288894</v>
      </c>
      <c r="J5">
        <f t="shared" si="0"/>
        <v>11.362980645945024</v>
      </c>
      <c r="K5">
        <v>15359421.472978406</v>
      </c>
      <c r="L5" s="4">
        <f t="shared" si="1"/>
        <v>5.0087447770492427E-2</v>
      </c>
      <c r="M5" s="4">
        <v>25129990.498254679</v>
      </c>
      <c r="N5" s="4">
        <f t="shared" si="2"/>
        <v>8.1949511494863833E-2</v>
      </c>
      <c r="O5">
        <v>3299</v>
      </c>
      <c r="P5">
        <f>O5*Inflacion!D6</f>
        <v>189660.52172080535</v>
      </c>
      <c r="Q5">
        <v>29262.06</v>
      </c>
      <c r="R5">
        <f>Q5/Poblacion!B5*Inflacion!D6</f>
        <v>0.8722032389679788</v>
      </c>
      <c r="S5">
        <v>33185.660000000003</v>
      </c>
      <c r="T5">
        <f>S5/Poblacion!B5*Inflacion!D6</f>
        <v>0.98915251145305882</v>
      </c>
      <c r="U5">
        <f t="shared" si="3"/>
        <v>0.80438967419562724</v>
      </c>
    </row>
    <row r="6" spans="1:21" x14ac:dyDescent="0.3">
      <c r="A6">
        <v>2018</v>
      </c>
      <c r="B6">
        <v>61829352.692040011</v>
      </c>
      <c r="C6">
        <f>B6*Inflacion!D7</f>
        <v>2579573138.7002249</v>
      </c>
      <c r="D6">
        <v>437174838.24037117</v>
      </c>
      <c r="E6">
        <f>D6*Inflacion!D7</f>
        <v>18239305775.32412</v>
      </c>
      <c r="F6">
        <f>E6/Poblacion!B6</f>
        <v>9352.3594346113023</v>
      </c>
      <c r="G6">
        <v>12478123.591775578</v>
      </c>
      <c r="H6">
        <f>G6*Inflacion!G7</f>
        <v>520006869.49710131</v>
      </c>
      <c r="I6">
        <v>44654882</v>
      </c>
      <c r="J6">
        <f t="shared" si="0"/>
        <v>11.645017212162855</v>
      </c>
      <c r="K6">
        <v>21746035.862449173</v>
      </c>
      <c r="L6" s="4">
        <f t="shared" si="1"/>
        <v>4.9742194564483568E-2</v>
      </c>
      <c r="M6" s="4">
        <v>29755374.235948645</v>
      </c>
      <c r="N6" s="4">
        <f t="shared" si="2"/>
        <v>6.8062870122429814E-2</v>
      </c>
      <c r="O6">
        <v>6337</v>
      </c>
      <c r="P6">
        <f>O6*Inflacion!D7</f>
        <v>264385.02536753594</v>
      </c>
      <c r="Q6">
        <v>40980.160000000003</v>
      </c>
      <c r="R6">
        <f>Q6/Poblacion!B6*Inflacion!D7</f>
        <v>0.87667713803133573</v>
      </c>
      <c r="S6">
        <v>44789.05</v>
      </c>
      <c r="T6">
        <f>S6/Poblacion!B6*Inflacion!D7</f>
        <v>0.95815965992183527</v>
      </c>
      <c r="U6">
        <f t="shared" si="3"/>
        <v>0.80312113449201739</v>
      </c>
    </row>
    <row r="7" spans="1:21" x14ac:dyDescent="0.3">
      <c r="A7">
        <v>2019</v>
      </c>
      <c r="B7">
        <v>78557636.545881674</v>
      </c>
      <c r="C7">
        <f>B7*Inflacion!D8</f>
        <v>2122598850.8873677</v>
      </c>
      <c r="D7">
        <v>633922288.73965526</v>
      </c>
      <c r="E7">
        <f>D7*Inflacion!D8</f>
        <v>17128350352.607733</v>
      </c>
      <c r="F7">
        <f>E7/Poblacion!B7</f>
        <v>8688.5229975213624</v>
      </c>
      <c r="G7">
        <v>18090816.018631365</v>
      </c>
      <c r="H7">
        <f>G7*Inflacion!G8</f>
        <v>490946513.57778078</v>
      </c>
      <c r="I7">
        <v>44973465</v>
      </c>
      <c r="J7">
        <f t="shared" si="0"/>
        <v>10.916359537291173</v>
      </c>
      <c r="K7">
        <v>36227840.745536864</v>
      </c>
      <c r="L7" s="4">
        <f t="shared" si="1"/>
        <v>5.7148709532778758E-2</v>
      </c>
      <c r="M7" s="4">
        <v>43799524.91224242</v>
      </c>
      <c r="N7" s="4">
        <f t="shared" si="2"/>
        <v>6.9092893072624534E-2</v>
      </c>
      <c r="O7">
        <v>7939</v>
      </c>
      <c r="P7">
        <f>O7*Inflacion!D8</f>
        <v>214508.90095646889</v>
      </c>
      <c r="Q7">
        <v>60689.75</v>
      </c>
      <c r="R7">
        <f>Q7/Poblacion!B7*Inflacion!D8</f>
        <v>0.83181219205463219</v>
      </c>
      <c r="S7">
        <v>63912.24</v>
      </c>
      <c r="T7">
        <f>S7/Poblacion!B7*Inflacion!D8</f>
        <v>0.8759795592092855</v>
      </c>
      <c r="U7">
        <f t="shared" si="3"/>
        <v>0.79591762875166039</v>
      </c>
    </row>
    <row r="8" spans="1:21" x14ac:dyDescent="0.3">
      <c r="A8">
        <v>2020</v>
      </c>
      <c r="B8">
        <v>60391484.67525617</v>
      </c>
      <c r="C8">
        <f>B8*Inflacion!D9</f>
        <v>1149451538.1940396</v>
      </c>
      <c r="D8">
        <v>740628099.59069705</v>
      </c>
      <c r="E8">
        <f>D8*Inflacion!D9</f>
        <v>14096624927.869333</v>
      </c>
      <c r="F8">
        <f>E8/Poblacion!B8</f>
        <v>7077.7846415000513</v>
      </c>
      <c r="G8">
        <v>22753874.438122511</v>
      </c>
      <c r="H8">
        <f>G8*Inflacion!G9</f>
        <v>434953562.89781111</v>
      </c>
      <c r="I8">
        <v>45191965</v>
      </c>
      <c r="J8">
        <f t="shared" si="0"/>
        <v>9.6245773534700501</v>
      </c>
      <c r="K8">
        <v>41655359.997950166</v>
      </c>
      <c r="L8" s="4">
        <f t="shared" si="1"/>
        <v>5.6243288664001148E-2</v>
      </c>
      <c r="M8" s="4">
        <v>53458205.437385246</v>
      </c>
      <c r="N8" s="4">
        <f t="shared" si="2"/>
        <v>7.2179553364135854E-2</v>
      </c>
      <c r="O8">
        <v>8072</v>
      </c>
      <c r="P8">
        <f>O8*Inflacion!D9</f>
        <v>153637.10407510246</v>
      </c>
      <c r="Q8">
        <v>84645.88</v>
      </c>
      <c r="R8">
        <f>Q8/Poblacion!B8*Inflacion!D9</f>
        <v>0.80891517586403727</v>
      </c>
      <c r="S8">
        <v>92505.24</v>
      </c>
      <c r="T8">
        <f>S8/Poblacion!B8*Inflacion!D9</f>
        <v>0.88402285477975984</v>
      </c>
      <c r="U8">
        <f t="shared" si="3"/>
        <v>0.7353865402669576</v>
      </c>
    </row>
    <row r="9" spans="1:21" x14ac:dyDescent="0.3">
      <c r="A9">
        <v>2021</v>
      </c>
      <c r="B9">
        <v>114690203.27333444</v>
      </c>
      <c r="C9">
        <f>B9*Inflacion!D10</f>
        <v>1461897766.9242067</v>
      </c>
      <c r="D9">
        <v>1214920762.9684253</v>
      </c>
      <c r="E9">
        <f>D9*Inflacion!D10</f>
        <v>15485977875.028641</v>
      </c>
      <c r="F9">
        <f>E9/Poblacion!B9</f>
        <v>7704.0213833615608</v>
      </c>
      <c r="G9">
        <v>38650606.38229122</v>
      </c>
      <c r="H9">
        <f>G9*Inflacion!G10</f>
        <v>497723065.51447457</v>
      </c>
      <c r="I9">
        <v>45312281</v>
      </c>
      <c r="J9">
        <f t="shared" si="0"/>
        <v>10.984286258166403</v>
      </c>
      <c r="K9">
        <v>85795005.073369294</v>
      </c>
      <c r="L9" s="4">
        <f t="shared" si="1"/>
        <v>7.0617778285182731E-2</v>
      </c>
      <c r="M9" s="4">
        <v>74950244.02161634</v>
      </c>
      <c r="N9" s="4">
        <f t="shared" si="2"/>
        <v>6.1691466889157304E-2</v>
      </c>
      <c r="O9">
        <v>12659</v>
      </c>
      <c r="P9">
        <f>O9*Inflacion!D10</f>
        <v>161357.84315761371</v>
      </c>
      <c r="Q9">
        <v>137943.21</v>
      </c>
      <c r="R9">
        <f>Q9/Poblacion!B9*Inflacion!D10</f>
        <v>0.8747216048337082</v>
      </c>
      <c r="S9">
        <v>146551.32999999999</v>
      </c>
      <c r="T9">
        <f>S9/Poblacion!B9*Inflacion!D10</f>
        <v>0.92930717335136936</v>
      </c>
      <c r="U9">
        <f t="shared" si="3"/>
        <v>0.70136749919767538</v>
      </c>
    </row>
    <row r="10" spans="1:21" x14ac:dyDescent="0.3">
      <c r="A10">
        <v>2022</v>
      </c>
      <c r="B10">
        <v>223286075.25997013</v>
      </c>
      <c r="C10">
        <f>B10*Inflacion!D11</f>
        <v>1631581532.278482</v>
      </c>
      <c r="D10">
        <v>2243686730.9373088</v>
      </c>
      <c r="E10">
        <f>D10*Inflacion!D11</f>
        <v>16394922209.78582</v>
      </c>
      <c r="F10">
        <f>E10/Poblacion!B10</f>
        <v>8095.0890340833257</v>
      </c>
      <c r="G10">
        <v>69715763.9209508</v>
      </c>
      <c r="H10">
        <f>G10*Inflacion!G11</f>
        <v>520680082.4250986</v>
      </c>
      <c r="I10">
        <v>45407904</v>
      </c>
      <c r="J10">
        <f t="shared" si="0"/>
        <v>11.466727960513188</v>
      </c>
      <c r="K10">
        <v>158021731.53368273</v>
      </c>
      <c r="L10" s="4">
        <f t="shared" si="1"/>
        <v>7.0429498625981773E-2</v>
      </c>
      <c r="M10" s="4">
        <v>125311481.49480617</v>
      </c>
      <c r="N10" s="4">
        <f t="shared" si="2"/>
        <v>5.5850703115963435E-2</v>
      </c>
      <c r="O10">
        <v>20146</v>
      </c>
      <c r="P10">
        <f>O10*Inflacion!D11</f>
        <v>147209.54502430218</v>
      </c>
      <c r="Q10">
        <v>254749.71</v>
      </c>
      <c r="R10">
        <f>Q10/Poblacion!B10*Inflacion!D11</f>
        <v>0.9191218878383286</v>
      </c>
      <c r="S10">
        <v>270053.51</v>
      </c>
      <c r="T10">
        <f>S10/Poblacion!B10*Inflacion!D11</f>
        <v>0.97433709317497141</v>
      </c>
      <c r="U10">
        <f t="shared" si="3"/>
        <v>0.70596329327420737</v>
      </c>
    </row>
    <row r="11" spans="1:21" x14ac:dyDescent="0.3">
      <c r="A11">
        <v>2023</v>
      </c>
      <c r="B11">
        <v>366001141.94214958</v>
      </c>
      <c r="C11">
        <f>B11*Inflacion!D12</f>
        <v>1145242432.5564349</v>
      </c>
      <c r="D11">
        <v>5116036135.6002159</v>
      </c>
      <c r="E11">
        <f>D11*Inflacion!D12</f>
        <v>16008424558.160282</v>
      </c>
      <c r="F11">
        <f>E11/Poblacion!B11</f>
        <v>7862.0477655386421</v>
      </c>
      <c r="G11">
        <v>162042499.69446799</v>
      </c>
      <c r="H11">
        <f>G11*Inflacion!G12</f>
        <v>518347291.30113441</v>
      </c>
      <c r="I11">
        <v>45538401</v>
      </c>
      <c r="J11">
        <f t="shared" si="0"/>
        <v>11.382641461239151</v>
      </c>
      <c r="K11">
        <v>363121783.15194887</v>
      </c>
      <c r="L11" s="4">
        <f t="shared" si="1"/>
        <v>7.0977173250428433E-2</v>
      </c>
      <c r="M11" s="4">
        <v>288781601.29863489</v>
      </c>
      <c r="N11" s="4">
        <f t="shared" si="2"/>
        <v>5.6446356836522792E-2</v>
      </c>
      <c r="O11">
        <v>47990</v>
      </c>
      <c r="P11">
        <f>O11*Inflacion!D12</f>
        <v>150163.96956234187</v>
      </c>
      <c r="Q11">
        <v>562345.68999999994</v>
      </c>
      <c r="R11">
        <f>Q11/Poblacion!B11*Inflacion!D12</f>
        <v>0.86418245656235759</v>
      </c>
      <c r="S11">
        <v>600304.22</v>
      </c>
      <c r="T11">
        <f>S11/Poblacion!B11*Inflacion!D12</f>
        <v>0.92251507346726525</v>
      </c>
      <c r="U11">
        <f t="shared" si="3"/>
        <v>0.69070503470665889</v>
      </c>
    </row>
    <row r="12" spans="1:21" x14ac:dyDescent="0.3">
      <c r="A12">
        <v>2024</v>
      </c>
      <c r="B12">
        <v>1058357296.0934764</v>
      </c>
      <c r="C12">
        <f>B12*Inflacion!D13</f>
        <v>1058357296.0934764</v>
      </c>
      <c r="D12">
        <v>15387481075.089417</v>
      </c>
      <c r="E12">
        <f>D12*Inflacion!D13</f>
        <v>15387481075.089417</v>
      </c>
      <c r="F12">
        <f>E12/Poblacion!B12</f>
        <v>7529.9393150536589</v>
      </c>
      <c r="G12">
        <v>487296043.05203193</v>
      </c>
      <c r="H12">
        <f>G12*Inflacion!G13</f>
        <v>487296043.05203193</v>
      </c>
      <c r="I12">
        <v>45696159</v>
      </c>
      <c r="J12">
        <f t="shared" si="0"/>
        <v>10.663829383384979</v>
      </c>
      <c r="K12">
        <v>743614639.54910243</v>
      </c>
      <c r="L12" s="4">
        <f t="shared" si="1"/>
        <v>4.8325949901763324E-2</v>
      </c>
      <c r="M12" s="4">
        <v>724604139.57079661</v>
      </c>
      <c r="N12" s="4">
        <f t="shared" si="2"/>
        <v>4.709049753073935E-2</v>
      </c>
      <c r="O12">
        <v>154486</v>
      </c>
      <c r="P12">
        <f>O12*Inflacion!D13</f>
        <v>154486</v>
      </c>
      <c r="Q12">
        <v>1647109.06</v>
      </c>
      <c r="R12">
        <f>Q12/Poblacion!B12*Inflacion!D13</f>
        <v>0.80602089494384666</v>
      </c>
      <c r="S12">
        <v>1682815.8</v>
      </c>
      <c r="T12">
        <f>S12/Poblacion!B12*Inflacion!D13</f>
        <v>0.82349416324723834</v>
      </c>
      <c r="U12">
        <f t="shared" si="3"/>
        <v>0.70611963529591459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GS_pc</vt:lpstr>
      <vt:lpstr>Afil_grupoedad</vt:lpstr>
      <vt:lpstr>Mortalidad</vt:lpstr>
      <vt:lpstr>Desempleo</vt:lpstr>
      <vt:lpstr>Inflacion</vt:lpstr>
      <vt:lpstr>TRM</vt:lpstr>
      <vt:lpstr>Poblacion</vt:lpstr>
      <vt:lpstr>Instrumentos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VB</cp:lastModifiedBy>
  <dcterms:created xsi:type="dcterms:W3CDTF">2026-03-27T20:06:57Z</dcterms:created>
  <dcterms:modified xsi:type="dcterms:W3CDTF">2026-06-17T18:10:00Z</dcterms:modified>
</cp:coreProperties>
</file>